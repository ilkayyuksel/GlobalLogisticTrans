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8e29f32fc53302/Documenten/"/>
    </mc:Choice>
  </mc:AlternateContent>
  <xr:revisionPtr revIDLastSave="448" documentId="8_{80EE0E10-54B6-4CB8-8A82-DB058F241EE0}" xr6:coauthVersionLast="47" xr6:coauthVersionMax="47" xr10:uidLastSave="{84D825DF-59AB-46BA-916B-ED60B87C4B1F}"/>
  <bookViews>
    <workbookView xWindow="-110" yWindow="-110" windowWidth="19420" windowHeight="11500" xr2:uid="{A6DF0CC5-DDF4-4E51-A21B-31B261862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43" i="1" l="1"/>
  <c r="M14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2" i="1"/>
  <c r="N143" i="1"/>
  <c r="O143" i="1"/>
  <c r="P143" i="1"/>
  <c r="L149" i="1" s="1"/>
  <c r="Q143" i="1"/>
  <c r="R143" i="1"/>
  <c r="L151" i="1" s="1"/>
  <c r="S143" i="1"/>
  <c r="L152" i="1" s="1"/>
  <c r="T143" i="1"/>
  <c r="L153" i="1" s="1"/>
  <c r="L150" i="1"/>
  <c r="L148" i="1"/>
  <c r="L147" i="1"/>
  <c r="U143" i="1" l="1"/>
  <c r="L154" i="1" s="1"/>
  <c r="L145" i="1"/>
  <c r="L146" i="1" l="1"/>
</calcChain>
</file>

<file path=xl/sharedStrings.xml><?xml version="1.0" encoding="utf-8"?>
<sst xmlns="http://schemas.openxmlformats.org/spreadsheetml/2006/main" count="1376" uniqueCount="512">
  <si>
    <t>Planning date</t>
  </si>
  <si>
    <t>Supplier</t>
  </si>
  <si>
    <t>Time (requested)</t>
  </si>
  <si>
    <t>Containertype</t>
  </si>
  <si>
    <t>Bookingnr</t>
  </si>
  <si>
    <t>Container nr.</t>
  </si>
  <si>
    <t>Startpoint</t>
  </si>
  <si>
    <t>Trip</t>
  </si>
  <si>
    <t>Distance</t>
  </si>
  <si>
    <t>Route</t>
  </si>
  <si>
    <t>Endpoint</t>
  </si>
  <si>
    <t>GLT</t>
  </si>
  <si>
    <t>15:30</t>
  </si>
  <si>
    <t>45PH</t>
  </si>
  <si>
    <t>DUBANR2780091</t>
  </si>
  <si>
    <t>PVDU 1115730</t>
  </si>
  <si>
    <t>VOYAGE BEQ869</t>
  </si>
  <si>
    <t>Quay 869 -&gt; LESSINES</t>
  </si>
  <si>
    <t>BE-Q869,BE-78600000</t>
  </si>
  <si>
    <t xml:space="preserve">COMBINATION </t>
  </si>
  <si>
    <t>10:00</t>
  </si>
  <si>
    <t>45RH</t>
  </si>
  <si>
    <t>BELANR2793092</t>
  </si>
  <si>
    <t>EUCU 9455126</t>
  </si>
  <si>
    <t>Quay 869 -&gt; MOUSCRON (MOESKROEN)</t>
  </si>
  <si>
    <t>BE-Q869,BE-77000020</t>
  </si>
  <si>
    <t>LOCATION BEQ869</t>
  </si>
  <si>
    <t>08:00</t>
  </si>
  <si>
    <t>ANRBEL2793927</t>
  </si>
  <si>
    <t>PVDU 1128402</t>
  </si>
  <si>
    <t>RELEASE BEQ869</t>
  </si>
  <si>
    <t>HENIN BEAUMONT -&gt; Quay 869</t>
  </si>
  <si>
    <t>FR-62110000,BE-Q869</t>
  </si>
  <si>
    <t>06:00</t>
  </si>
  <si>
    <t>ANRCRK2794077</t>
  </si>
  <si>
    <t>EUCU 4551596</t>
  </si>
  <si>
    <t>BOUSBECQUE -&gt; Quay 869</t>
  </si>
  <si>
    <t>FR-59166000,BE-Q869</t>
  </si>
  <si>
    <t>15:00</t>
  </si>
  <si>
    <t>BELANR2794600</t>
  </si>
  <si>
    <t>EUCU 1454653</t>
  </si>
  <si>
    <t>Quay 869 -&gt; Melsele (Beveren)</t>
  </si>
  <si>
    <t>BE-Q869,BE-91200040</t>
  </si>
  <si>
    <t>18:00</t>
  </si>
  <si>
    <t>ANRDUB2794719</t>
  </si>
  <si>
    <t>CNEU 4597558</t>
  </si>
  <si>
    <t>DENDERMONDE -&gt; Quay 869</t>
  </si>
  <si>
    <t>BE-92000000,BE-Q869</t>
  </si>
  <si>
    <t>17:00</t>
  </si>
  <si>
    <t>DUBANR2781838</t>
  </si>
  <si>
    <t>CNEU 4611867</t>
  </si>
  <si>
    <t>DUBANR2781840</t>
  </si>
  <si>
    <t>EUCU 2451319</t>
  </si>
  <si>
    <t>16:00</t>
  </si>
  <si>
    <t>ANRCRK2795591</t>
  </si>
  <si>
    <t>08:30</t>
  </si>
  <si>
    <t>ANRCRK2795593</t>
  </si>
  <si>
    <t>TLLU 1609997</t>
  </si>
  <si>
    <t>HAZEBROUCK -&gt; Quay 869</t>
  </si>
  <si>
    <t>FR-59190020,BE-Q869</t>
  </si>
  <si>
    <t>20FL</t>
  </si>
  <si>
    <t>ANRCRK2795913</t>
  </si>
  <si>
    <t>EUCU 2000001</t>
  </si>
  <si>
    <t>DESSEL -&gt; Quay 869</t>
  </si>
  <si>
    <t>BE-24800000,BE-Q869</t>
  </si>
  <si>
    <t>07:00</t>
  </si>
  <si>
    <t>ANRBEL2795959</t>
  </si>
  <si>
    <t>PVDU 3200358</t>
  </si>
  <si>
    <t>LOKEREN -&gt; ANTWERPEN 4 -&gt; Quay 869</t>
  </si>
  <si>
    <t>BE-91600000,BE-20400010,BE-20400010,BE-Q869</t>
  </si>
  <si>
    <t>13:00</t>
  </si>
  <si>
    <t>ANRCRK2796042</t>
  </si>
  <si>
    <t>PVDU 1192931</t>
  </si>
  <si>
    <t>OLEN -&gt; Quay 869</t>
  </si>
  <si>
    <t>BE-22500000,BE-Q869</t>
  </si>
  <si>
    <t>ANRBEL2796120</t>
  </si>
  <si>
    <t>EUCU 4551132</t>
  </si>
  <si>
    <t>ANRDUB2796334</t>
  </si>
  <si>
    <t>CNEU 4688750</t>
  </si>
  <si>
    <t>HERENTALS -&gt; Quay 869</t>
  </si>
  <si>
    <t>BE-22000000,BE-Q869</t>
  </si>
  <si>
    <t>ANRBEL2796360</t>
  </si>
  <si>
    <t>CNEU 4695045</t>
  </si>
  <si>
    <t>MONS (GHLIN) -&gt; Quay 869</t>
  </si>
  <si>
    <t>BE-70110010,BE-Q869</t>
  </si>
  <si>
    <t>ANRCRK2796381</t>
  </si>
  <si>
    <t>EUCU 2000336</t>
  </si>
  <si>
    <t>ANRDUB2796546</t>
  </si>
  <si>
    <t>EUCU 2452022</t>
  </si>
  <si>
    <t>ST LAURENT BLANGY -&gt; Quay 869</t>
  </si>
  <si>
    <t>FR-62223060,BE-Q869</t>
  </si>
  <si>
    <t>ANRCRK2796739</t>
  </si>
  <si>
    <t>EUCU 4562435</t>
  </si>
  <si>
    <t>PUURS -&gt; Quay 869</t>
  </si>
  <si>
    <t>BE-28700000,BE-Q869</t>
  </si>
  <si>
    <t>ANRBEL2796814</t>
  </si>
  <si>
    <t>EUCU 4582508</t>
  </si>
  <si>
    <t>GENT -&gt; Quay 869</t>
  </si>
  <si>
    <t>BE-90000000,BE-Q869</t>
  </si>
  <si>
    <t>ANRDUB2796850</t>
  </si>
  <si>
    <t>EUCU 1450637</t>
  </si>
  <si>
    <t>WANZE -&gt; Quay 869</t>
  </si>
  <si>
    <t>BE-45200000,BE-Q869</t>
  </si>
  <si>
    <t>ANRDUB2796993</t>
  </si>
  <si>
    <t>PVDU 1193440</t>
  </si>
  <si>
    <t>WEERT -&gt; Quay 869</t>
  </si>
  <si>
    <t>NL-6001,BE-Q869</t>
  </si>
  <si>
    <t>11:00</t>
  </si>
  <si>
    <t>ANRDUB2797039</t>
  </si>
  <si>
    <t>PVDU 1138910</t>
  </si>
  <si>
    <t>OOSTERHOUT NB -&gt; Quay 869</t>
  </si>
  <si>
    <t>NL-4906,BE-Q869</t>
  </si>
  <si>
    <t>ANRDUB2797162</t>
  </si>
  <si>
    <t>EUCU 4580995</t>
  </si>
  <si>
    <t>BEERNEM -&gt; Quay 869</t>
  </si>
  <si>
    <t>BE-87300000,BE-Q869</t>
  </si>
  <si>
    <t>ANRDUB2797163</t>
  </si>
  <si>
    <t>CNEU 4693192</t>
  </si>
  <si>
    <t>ANRDUB2797042</t>
  </si>
  <si>
    <t>PVDU 1124665</t>
  </si>
  <si>
    <t>40FL</t>
  </si>
  <si>
    <t>ANRDUB2797135</t>
  </si>
  <si>
    <t>EUCU 4000335</t>
  </si>
  <si>
    <t>KAPELLEN -&gt; Quay 869</t>
  </si>
  <si>
    <t>BE-29500000,BE-Q869</t>
  </si>
  <si>
    <t>12:00</t>
  </si>
  <si>
    <t>ANRDUB2797136</t>
  </si>
  <si>
    <t>EUCU 4001239</t>
  </si>
  <si>
    <t>09:00</t>
  </si>
  <si>
    <t>ANRDUB2797291</t>
  </si>
  <si>
    <t>PVDU 1114986</t>
  </si>
  <si>
    <t>TOUFFLERS -&gt; Quay 869</t>
  </si>
  <si>
    <t>FR-59390030,BE-Q869</t>
  </si>
  <si>
    <t>07:30</t>
  </si>
  <si>
    <t>ANRCRK2797304</t>
  </si>
  <si>
    <t>EUCU 4516954</t>
  </si>
  <si>
    <t>ANTWERPEN -&gt; Quay 869</t>
  </si>
  <si>
    <t>BE-20400000,BE-Q869</t>
  </si>
  <si>
    <t>ANRDUB2797456</t>
  </si>
  <si>
    <t>PVDU 1191339</t>
  </si>
  <si>
    <t>RAILLENCOURT STE OLLE -&gt; Quay 869</t>
  </si>
  <si>
    <t>FR-59554020,BE-Q869</t>
  </si>
  <si>
    <t>ANRDUB2792389</t>
  </si>
  <si>
    <t>PVDU 1191452</t>
  </si>
  <si>
    <t>DEURNE -&gt; Quay 869</t>
  </si>
  <si>
    <t>BE-21000000,BE-Q869</t>
  </si>
  <si>
    <t>ANRDUB2794267</t>
  </si>
  <si>
    <t>BERLARE (OVERMERE) -&gt; Quay 869</t>
  </si>
  <si>
    <t>BE-92900020,BE-Q869</t>
  </si>
  <si>
    <t>ANRDUB2794721</t>
  </si>
  <si>
    <t>EUCU 1450895</t>
  </si>
  <si>
    <t>ANRDUB2795474</t>
  </si>
  <si>
    <t>EUCU 4551894</t>
  </si>
  <si>
    <t>DOURGES -&gt; Quay 869</t>
  </si>
  <si>
    <t>FR-62119000,BE-Q869</t>
  </si>
  <si>
    <t>ANRDUB2795478</t>
  </si>
  <si>
    <t>EUCU 4542233</t>
  </si>
  <si>
    <t>ANRDUB2795981</t>
  </si>
  <si>
    <t>CNEU 4591950</t>
  </si>
  <si>
    <t>MECHELEN (MUIZEN) -&gt; Quay 869</t>
  </si>
  <si>
    <t>BE-28120010,BE-Q869</t>
  </si>
  <si>
    <t>ANRDUB2796134</t>
  </si>
  <si>
    <t>CNEU 4592833</t>
  </si>
  <si>
    <t>ANRDUB2796140</t>
  </si>
  <si>
    <t>14:00</t>
  </si>
  <si>
    <t>ANRDUB2796758</t>
  </si>
  <si>
    <t>CNEU 4689886</t>
  </si>
  <si>
    <t>VEGHEL -&gt; Quay 869</t>
  </si>
  <si>
    <t>NL-5462,BE-Q869</t>
  </si>
  <si>
    <t>ANRDUB2796763</t>
  </si>
  <si>
    <t>CNEU 4693947</t>
  </si>
  <si>
    <t>45OS</t>
  </si>
  <si>
    <t>ANRCRK2796765</t>
  </si>
  <si>
    <t>EUCU 4591789</t>
  </si>
  <si>
    <t>ANRDUB2796851</t>
  </si>
  <si>
    <t>CNEU 4586105</t>
  </si>
  <si>
    <t>ANRDUB2796907</t>
  </si>
  <si>
    <t>EUCU 4516846</t>
  </si>
  <si>
    <t>ST MARTIN AU LAERT -&gt; Quay 869</t>
  </si>
  <si>
    <t>FR-62500050,BE-Q869</t>
  </si>
  <si>
    <t>ANRDUB2797176</t>
  </si>
  <si>
    <t>EUCU 4660792</t>
  </si>
  <si>
    <t>GENK -&gt; LEUVEN (HEVERLEE) -&gt; Quay 869</t>
  </si>
  <si>
    <t>BE-36000000,BE-30010020,BE-30010020,BE-Q869</t>
  </si>
  <si>
    <t>ANRDUB2797283</t>
  </si>
  <si>
    <t>EUCU 5450023</t>
  </si>
  <si>
    <t>KERKRADE -&gt; Quay 869</t>
  </si>
  <si>
    <t>NL-6468,BE-Q869</t>
  </si>
  <si>
    <t>ANRDUB2797303</t>
  </si>
  <si>
    <t>EUCU 1453256</t>
  </si>
  <si>
    <t>ANRDUB2797316</t>
  </si>
  <si>
    <t>EUCU 5452052</t>
  </si>
  <si>
    <t>ROESELARE -&gt; Quay 869</t>
  </si>
  <si>
    <t>BE-88000000,BE-Q869</t>
  </si>
  <si>
    <t>ANRDUB2797335</t>
  </si>
  <si>
    <t>PVDU 1131812</t>
  </si>
  <si>
    <t>ANRBEL2797557</t>
  </si>
  <si>
    <t>KLUISBERGEN -&gt; Quay 869</t>
  </si>
  <si>
    <t>BE-96900000,BE-Q869</t>
  </si>
  <si>
    <t>ANRDUB2797632</t>
  </si>
  <si>
    <t>TLLU 1608959</t>
  </si>
  <si>
    <t>NL-4903,BE-Q869</t>
  </si>
  <si>
    <t>20ST</t>
  </si>
  <si>
    <t>ANRBEL2797615</t>
  </si>
  <si>
    <t>TRLU 8929695</t>
  </si>
  <si>
    <t>NEDERWEERT -&gt; Quay 869</t>
  </si>
  <si>
    <t>NL-6031,BE-Q869</t>
  </si>
  <si>
    <t>ANRDUB2797666</t>
  </si>
  <si>
    <t>EUCU 4518319</t>
  </si>
  <si>
    <t>Kallo (Beveren) -&gt; Quay 869</t>
  </si>
  <si>
    <t>BE-91300020,BE-Q869</t>
  </si>
  <si>
    <t>ANRDUB2798073</t>
  </si>
  <si>
    <t>EUCU 4531877</t>
  </si>
  <si>
    <t>EINDHOVEN -&gt; Quay 869</t>
  </si>
  <si>
    <t>NL-5651,BE-Q869</t>
  </si>
  <si>
    <t>ANRCRK2792335</t>
  </si>
  <si>
    <t>PVDU 1190883</t>
  </si>
  <si>
    <t>ANRDUB2795466</t>
  </si>
  <si>
    <t>PVDU 1117985</t>
  </si>
  <si>
    <t>ANRDUB2796158</t>
  </si>
  <si>
    <t>EUCU 4518089</t>
  </si>
  <si>
    <t>ANRCRK2796208</t>
  </si>
  <si>
    <t>EUCU 4540668</t>
  </si>
  <si>
    <t>LAAKDAL (EINDHOUT) -&gt; Quay 869</t>
  </si>
  <si>
    <t>BE-24300010,BE-Q869</t>
  </si>
  <si>
    <t>ANRDUB2796857</t>
  </si>
  <si>
    <t>CNEU 4688010</t>
  </si>
  <si>
    <t>ANRDUB2797405</t>
  </si>
  <si>
    <t>EUCU 5452772</t>
  </si>
  <si>
    <t>ANRBEL2797472</t>
  </si>
  <si>
    <t>EUCU 2000932</t>
  </si>
  <si>
    <t>LANKLAAR -&gt; Quay 869</t>
  </si>
  <si>
    <t>BE-36500030,BE-Q869</t>
  </si>
  <si>
    <t>ANRDUB2797482</t>
  </si>
  <si>
    <t>PVDU 1099217</t>
  </si>
  <si>
    <t>NIVELLES -&gt; Quay 869</t>
  </si>
  <si>
    <t>BE-14000000,BE-Q869</t>
  </si>
  <si>
    <t>ANRDUB2797532</t>
  </si>
  <si>
    <t>EUCU 4530546</t>
  </si>
  <si>
    <t>SINT-AMANDSBERG -&gt; Quay 869</t>
  </si>
  <si>
    <t>BE-90420000,BE-Q869</t>
  </si>
  <si>
    <t>ANRBEL2797665</t>
  </si>
  <si>
    <t>PVDU 1122533</t>
  </si>
  <si>
    <t>ZWIJNDRECHT -&gt; Quay 869</t>
  </si>
  <si>
    <t>BE-20700000,BE-Q869</t>
  </si>
  <si>
    <t>ANRDUB2797668</t>
  </si>
  <si>
    <t>EUCU 5453001</t>
  </si>
  <si>
    <t>ANRDUB2797731</t>
  </si>
  <si>
    <t>CNEU 4583678</t>
  </si>
  <si>
    <t>ANRCRK2798001</t>
  </si>
  <si>
    <t>EUCU 1451886</t>
  </si>
  <si>
    <t>ROOSENDAAL -&gt; Quay 869</t>
  </si>
  <si>
    <t>NL-4704,BE-Q869</t>
  </si>
  <si>
    <t>ANRDUB2798020</t>
  </si>
  <si>
    <t>EUCU 4531985</t>
  </si>
  <si>
    <t>GROBBENDONK -&gt; Quay 869</t>
  </si>
  <si>
    <t>BE-22800000,BE-Q869</t>
  </si>
  <si>
    <t>ANRDUB2798026</t>
  </si>
  <si>
    <t>EUCU 5452392</t>
  </si>
  <si>
    <t>ANRDUB2798021</t>
  </si>
  <si>
    <t>EUCU 4001481</t>
  </si>
  <si>
    <t>BE-20300000,BE-Q869</t>
  </si>
  <si>
    <t>ANRDUB2798412</t>
  </si>
  <si>
    <t>EUCU 1452692</t>
  </si>
  <si>
    <t>10:15</t>
  </si>
  <si>
    <t>ANRCRK2798461</t>
  </si>
  <si>
    <t>PVDU 1135417</t>
  </si>
  <si>
    <t>ANRDUB2798487</t>
  </si>
  <si>
    <t>TLLU 1608882</t>
  </si>
  <si>
    <t>LIEGE -&gt; Quay 869</t>
  </si>
  <si>
    <t>BE-40200000,BE-Q869</t>
  </si>
  <si>
    <t>ANRDUB2798587</t>
  </si>
  <si>
    <t>EUCU 1452558</t>
  </si>
  <si>
    <t>ANRDUB2798591</t>
  </si>
  <si>
    <t>CNEU 4594250</t>
  </si>
  <si>
    <t>HOOGSTRATEN (MEER) -&gt; Quay 869</t>
  </si>
  <si>
    <t>BE-23210010,BE-Q869</t>
  </si>
  <si>
    <t>ANRDUB2798626</t>
  </si>
  <si>
    <t>EUCU 4591937</t>
  </si>
  <si>
    <t>ALKEN -&gt; Quay 869</t>
  </si>
  <si>
    <t>BE-35700000,BE-Q869</t>
  </si>
  <si>
    <t>ANRDUB2796070</t>
  </si>
  <si>
    <t>PVDU 1191278</t>
  </si>
  <si>
    <t>ANRDUB2797007</t>
  </si>
  <si>
    <t>EUCU 5451185</t>
  </si>
  <si>
    <t>MERKSPLAS -&gt; Quay 869</t>
  </si>
  <si>
    <t>BE-23300000,BE-Q869</t>
  </si>
  <si>
    <t>BELANR2789241</t>
  </si>
  <si>
    <t>EUCU 4541617</t>
  </si>
  <si>
    <t>Quay 869 -&gt; LOMMEL</t>
  </si>
  <si>
    <t>BE-Q869,BE-39200000</t>
  </si>
  <si>
    <t>DUBANR2781854</t>
  </si>
  <si>
    <t>EUCU 4582956</t>
  </si>
  <si>
    <t>Quay 869 -&gt; Kallo (Beveren)</t>
  </si>
  <si>
    <t>BE-Q869,BE-91300020</t>
  </si>
  <si>
    <t>12:30</t>
  </si>
  <si>
    <t>BELANR2794601</t>
  </si>
  <si>
    <t>EUCU 4551364</t>
  </si>
  <si>
    <t>VOYAGE BEQ1742</t>
  </si>
  <si>
    <t>MPET 1742 -&gt; Melsele (Beveren)</t>
  </si>
  <si>
    <t>BE-Q1742,BE-91200040</t>
  </si>
  <si>
    <t>ANRDUB2795016</t>
  </si>
  <si>
    <t>EUCU 1450811</t>
  </si>
  <si>
    <t>WESTERLO (OEVEL) -&gt; Quay 869</t>
  </si>
  <si>
    <t>BE-22600020,BE-Q869</t>
  </si>
  <si>
    <t>ANRDUB2795480</t>
  </si>
  <si>
    <t>CNEU 4700265</t>
  </si>
  <si>
    <t>DUBANR2781843</t>
  </si>
  <si>
    <t>DUBANR2781844</t>
  </si>
  <si>
    <t>EUCU 1451166</t>
  </si>
  <si>
    <t>DUBANR2781841</t>
  </si>
  <si>
    <t>EUCU 4562287</t>
  </si>
  <si>
    <t>ANRDUB2796544</t>
  </si>
  <si>
    <t>CNEU 4696740</t>
  </si>
  <si>
    <t>ANRDUB2796548</t>
  </si>
  <si>
    <t>EUCU 5450804</t>
  </si>
  <si>
    <t>CLAIROIX -&gt; Quay 869</t>
  </si>
  <si>
    <t>FR-60280010,BE-Q869</t>
  </si>
  <si>
    <t>ANRDUB2796750</t>
  </si>
  <si>
    <t>TLLU 1609106</t>
  </si>
  <si>
    <t>ANRDUB2796862</t>
  </si>
  <si>
    <t>CNEU 4694711</t>
  </si>
  <si>
    <t>ANRDUB2796883</t>
  </si>
  <si>
    <t>PVDU 1192762</t>
  </si>
  <si>
    <t>ANRDUB2796884</t>
  </si>
  <si>
    <t>CNEU 4694060</t>
  </si>
  <si>
    <t>ANRDUB2796944</t>
  </si>
  <si>
    <t>TLLU 1077153</t>
  </si>
  <si>
    <t>ZONNEBEKE (PASSENDALE) -&gt; Quay 869</t>
  </si>
  <si>
    <t>BE-89800030,BE-Q869</t>
  </si>
  <si>
    <t>ANRDUB2797187</t>
  </si>
  <si>
    <t>TLLU 1609317</t>
  </si>
  <si>
    <t>LESSINES -&gt; Quay 869</t>
  </si>
  <si>
    <t>BE-78600000,BE-Q869</t>
  </si>
  <si>
    <t>ANRBEL2797233</t>
  </si>
  <si>
    <t>CNEU 4590759</t>
  </si>
  <si>
    <t>AALTER -&gt; Quay 869</t>
  </si>
  <si>
    <t>BE-98800000,BE-Q869</t>
  </si>
  <si>
    <t>16:30</t>
  </si>
  <si>
    <t>40PH</t>
  </si>
  <si>
    <t>ANRDUB2797392</t>
  </si>
  <si>
    <t>EUCU 5400038</t>
  </si>
  <si>
    <t>ANRDUB2797524</t>
  </si>
  <si>
    <t>EUCU 5450656</t>
  </si>
  <si>
    <t>ANRDUB2797537</t>
  </si>
  <si>
    <t>EUCU 5452828</t>
  </si>
  <si>
    <t>ANRDUB2797806</t>
  </si>
  <si>
    <t>TLLU 1609976</t>
  </si>
  <si>
    <t>MOERDIJK -&gt; Quay 869</t>
  </si>
  <si>
    <t>NL-4782,BE-Q869</t>
  </si>
  <si>
    <t>ANRDUB2798311</t>
  </si>
  <si>
    <t>EUCU 5450698</t>
  </si>
  <si>
    <t>BOIS GRENIER -&gt; Quay 869</t>
  </si>
  <si>
    <t>FR-59280020,BE-Q869</t>
  </si>
  <si>
    <t>ANRDUB2798484</t>
  </si>
  <si>
    <t>EUCU 2451432</t>
  </si>
  <si>
    <t>ANRDUB2798784</t>
  </si>
  <si>
    <t>EUCU 4532106</t>
  </si>
  <si>
    <t>ANRDUB2798834</t>
  </si>
  <si>
    <t>EUCU 5450276</t>
  </si>
  <si>
    <t>ANRDUB2798838</t>
  </si>
  <si>
    <t>PVDU 1121964</t>
  </si>
  <si>
    <t>ANRDUB2798843</t>
  </si>
  <si>
    <t>ANRDUB2798960</t>
  </si>
  <si>
    <t>CNEU 4609140</t>
  </si>
  <si>
    <t>COMINES -&gt; Quay 869</t>
  </si>
  <si>
    <t>FR-59560000,BE-Q869</t>
  </si>
  <si>
    <t>ANRDUB2798975</t>
  </si>
  <si>
    <t>EUCU 4540396</t>
  </si>
  <si>
    <t>LOMMEL -&gt; Quay 869</t>
  </si>
  <si>
    <t>BE-39200000,BE-Q869</t>
  </si>
  <si>
    <t>ANRDUB2790429</t>
  </si>
  <si>
    <t>EUCU 4516722</t>
  </si>
  <si>
    <t>BRAINE-L'ALLEUD -&gt; Quay 869</t>
  </si>
  <si>
    <t>BE-14200000,BE-Q869</t>
  </si>
  <si>
    <t>10:35</t>
  </si>
  <si>
    <t>DUBANR2792058</t>
  </si>
  <si>
    <t>TCLU 2799281</t>
  </si>
  <si>
    <t>DUBANR2781834</t>
  </si>
  <si>
    <t>PVDU 1124686</t>
  </si>
  <si>
    <t>DUBANR2790283</t>
  </si>
  <si>
    <t>CNEU 4694774</t>
  </si>
  <si>
    <t>Quay 869 -&gt; ZEMST</t>
  </si>
  <si>
    <t>BE-Q869,BE-19800000</t>
  </si>
  <si>
    <t>DUBANR2783117</t>
  </si>
  <si>
    <t>EUCU 4550964</t>
  </si>
  <si>
    <t>Quay 869 -&gt; GENT</t>
  </si>
  <si>
    <t>BE-Q869,BE-90000000</t>
  </si>
  <si>
    <t>DUBANR2783115</t>
  </si>
  <si>
    <t>PVDU 1134160</t>
  </si>
  <si>
    <t>BELANR2794610</t>
  </si>
  <si>
    <t>EUCU 4530886</t>
  </si>
  <si>
    <t>DUBANR2781837</t>
  </si>
  <si>
    <t>PVDU 1114461</t>
  </si>
  <si>
    <t>ANRDUB2795013</t>
  </si>
  <si>
    <t>EUCU 4660339</t>
  </si>
  <si>
    <t>DUBANR2781842</t>
  </si>
  <si>
    <t>PVDU 1196496</t>
  </si>
  <si>
    <t>CRKANR2796735</t>
  </si>
  <si>
    <t>EUCU 4550753</t>
  </si>
  <si>
    <t>Quay 869 -&gt; BRECHT</t>
  </si>
  <si>
    <t>BE-Q869,BE-29600000</t>
  </si>
  <si>
    <t>DUBANR2781845</t>
  </si>
  <si>
    <t>EUCU 5450867</t>
  </si>
  <si>
    <t>DUBANR2781846</t>
  </si>
  <si>
    <t>EUCU 5451539</t>
  </si>
  <si>
    <t>ANRDUB2797294</t>
  </si>
  <si>
    <t>EUCU 4660344</t>
  </si>
  <si>
    <t>DUBANR2781849</t>
  </si>
  <si>
    <t>EUCU 5452113</t>
  </si>
  <si>
    <t>DUBANR2781839</t>
  </si>
  <si>
    <t>EUCU 4560474</t>
  </si>
  <si>
    <t>ANRDUB2798036</t>
  </si>
  <si>
    <t>ANRDUB2798287</t>
  </si>
  <si>
    <t>ZEMST -&gt; Quay 869</t>
  </si>
  <si>
    <t>BE-19800000,BE-Q869</t>
  </si>
  <si>
    <t>ANRDUB2798863</t>
  </si>
  <si>
    <t>ANRDUB2798867</t>
  </si>
  <si>
    <t>ANRDUB2799258</t>
  </si>
  <si>
    <t>TLLU 1609180</t>
  </si>
  <si>
    <t>ZELE -&gt; Quay 869</t>
  </si>
  <si>
    <t>BE-92400000,BE-Q869</t>
  </si>
  <si>
    <t>ANRBEL2799400</t>
  </si>
  <si>
    <t>EUCU 2000531</t>
  </si>
  <si>
    <t>ANRDUB2800089</t>
  </si>
  <si>
    <t>EUCU 4516189</t>
  </si>
  <si>
    <t>ANRDUB2790203</t>
  </si>
  <si>
    <t>PVDU 1110511</t>
  </si>
  <si>
    <t>Tarief</t>
  </si>
  <si>
    <t>Backload</t>
  </si>
  <si>
    <t>Maut</t>
  </si>
  <si>
    <t>Tol B</t>
  </si>
  <si>
    <t>Tol FR</t>
  </si>
  <si>
    <t>Tunnel</t>
  </si>
  <si>
    <t>Others</t>
  </si>
  <si>
    <t>EK</t>
  </si>
  <si>
    <t>Remarks</t>
  </si>
  <si>
    <t>tar</t>
  </si>
  <si>
    <t>flat,tar</t>
  </si>
  <si>
    <t>EC 4156175</t>
  </si>
  <si>
    <t>EC 4156176</t>
  </si>
  <si>
    <t>tar,EC 4167015</t>
  </si>
  <si>
    <t>EC 4156196</t>
  </si>
  <si>
    <t>tar,EC 4167014</t>
  </si>
  <si>
    <t>DUBANR2791990</t>
  </si>
  <si>
    <t>EUCU 1454397</t>
  </si>
  <si>
    <t>WILLEBROEK</t>
  </si>
  <si>
    <t>EC 4167807</t>
  </si>
  <si>
    <t>tar,EC 4158310</t>
  </si>
  <si>
    <t>RTMDUB2793554</t>
  </si>
  <si>
    <t>SITTARD</t>
  </si>
  <si>
    <t>EC 4149079</t>
  </si>
  <si>
    <t>EC 4149080</t>
  </si>
  <si>
    <t>tar,EC 4156173</t>
  </si>
  <si>
    <t>tar,EC 4158300</t>
  </si>
  <si>
    <t>tar,EC 4161518</t>
  </si>
  <si>
    <t>tar,EC 4156197</t>
  </si>
  <si>
    <t>flat,tar,EC 4156172</t>
  </si>
  <si>
    <t>stop,tar,EC 4156162</t>
  </si>
  <si>
    <t>tar,EC 4167895</t>
  </si>
  <si>
    <t>flat,tar,EC 4156171</t>
  </si>
  <si>
    <t>tar,EC 4156167</t>
  </si>
  <si>
    <t>flat,tar,EC 4157219</t>
  </si>
  <si>
    <t>tar,EC 4156169</t>
  </si>
  <si>
    <t>tar,EC 4156168</t>
  </si>
  <si>
    <t>stop,tar,EC 4159887</t>
  </si>
  <si>
    <t>tar,EC 4160716</t>
  </si>
  <si>
    <t>tar,EC 4157215</t>
  </si>
  <si>
    <t>tar,EC 4157220</t>
  </si>
  <si>
    <t>tar,EC 4160740</t>
  </si>
  <si>
    <t>RTMDUB2797833</t>
  </si>
  <si>
    <t>TLLU 1760386</t>
  </si>
  <si>
    <t>EC 4160714</t>
  </si>
  <si>
    <t>EC 4160713</t>
  </si>
  <si>
    <t>EC 4167877</t>
  </si>
  <si>
    <t>tar,EC 4167869</t>
  </si>
  <si>
    <t>tar,EC 4167874</t>
  </si>
  <si>
    <t>tar,EC 4167007</t>
  </si>
  <si>
    <t>Total</t>
  </si>
  <si>
    <t>Backloads</t>
  </si>
  <si>
    <t>Maut D</t>
  </si>
  <si>
    <t xml:space="preserve">Others </t>
  </si>
  <si>
    <t xml:space="preserve">Fuel 23% </t>
  </si>
  <si>
    <t>Fuel 24%</t>
  </si>
  <si>
    <t>tar,wachtuur 7u tot 9:45</t>
  </si>
  <si>
    <t>tar,EC 4157216,wachtuur 7:30 tot 11:30</t>
  </si>
  <si>
    <t>tar,EC 4157221,over st niklaas</t>
  </si>
  <si>
    <t xml:space="preserve">tar,EC 4160732,zelf geladen </t>
  </si>
  <si>
    <t>tar,LQ Boeking+wachtuur van kaai 10:15 tot 11:00</t>
  </si>
  <si>
    <t>tar,wachtuur van kaai 10:00 tot 11:00</t>
  </si>
  <si>
    <t>tar,wachtuur kaai 10:00 tot 11:00</t>
  </si>
  <si>
    <t>flat,tar,EC 467866,wachtuur kaai 8,45 tot 11:00</t>
  </si>
  <si>
    <t>tar,EC 4160715,wachtuur 13u tot 15,30</t>
  </si>
  <si>
    <t>tar,EC 4160741,over st niklaas te laat op kaai</t>
  </si>
  <si>
    <t>wachtuur 14:15 tot16:45</t>
  </si>
  <si>
    <t>wachtuur 9:00 tot 11:30</t>
  </si>
  <si>
    <t>tar 869,Tar 1742 OP,wachtuur 13:15 tot 16:45</t>
  </si>
  <si>
    <t xml:space="preserve">tar,over st niklaas </t>
  </si>
  <si>
    <t>tar,wachtuur 13:30 tot16:00</t>
  </si>
  <si>
    <t>tar,wachtuur 14:00 tot16:45</t>
  </si>
  <si>
    <t>tar,AANKOPPELEN</t>
  </si>
  <si>
    <t>tar,wachtuur 15:30 tot 18:00</t>
  </si>
  <si>
    <t>tar,wachtuur 14:45 tot 17:30</t>
  </si>
  <si>
    <t>tar,wachtuur 12:30 tot 15:00</t>
  </si>
  <si>
    <t>tar,tar 1742 EN OP 1742</t>
  </si>
  <si>
    <t>31-08 tot 04-09-2026</t>
  </si>
  <si>
    <t>CHAISSE HUREN</t>
  </si>
  <si>
    <t>ANRDUB2796530</t>
  </si>
  <si>
    <t>EUCU1452558</t>
  </si>
  <si>
    <t>ROERMOND</t>
  </si>
  <si>
    <t>EUCU4551364</t>
  </si>
  <si>
    <t>QUAY- LESSINES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</si>
</sst>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_-[$€-2]\ * #,##0.00_-;\-[$€-2]\ * #,##0.00_-;_-[$€-2]\ 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Microsoft Sans Serif"/>
      <family val="2"/>
    </font>
    <font>
      <sz val="8"/>
      <color rgb="FF000000"/>
      <name val="Microsoft Sans Serif"/>
      <family val="2"/>
    </font>
    <font>
      <sz val="8"/>
      <color rgb="FF008000"/>
      <name val="Microsoft Sans Serif"/>
      <family val="2"/>
    </font>
    <font>
      <sz val="8"/>
      <color indexed="8"/>
      <name val="Microsoft Sans Serif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name val="Aptos Narrow"/>
      <family val="2"/>
      <scheme val="minor"/>
    </font>
    <font>
      <sz val="8"/>
      <color rgb="FFFF0000"/>
      <name val="Microsoft Sans Serif"/>
      <family val="2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165" fontId="5" fillId="3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65" fontId="5" fillId="3" borderId="1" xfId="1" applyNumberFormat="1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  <xf numFmtId="165" fontId="6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165" fontId="0" fillId="0" borderId="1" xfId="1" applyNumberFormat="1" applyFont="1" applyBorder="1"/>
    <xf numFmtId="165" fontId="8" fillId="0" borderId="0" xfId="1" applyNumberFormat="1" applyFont="1"/>
    <xf numFmtId="165" fontId="7" fillId="0" borderId="0" xfId="1" applyNumberFormat="1" applyFont="1"/>
    <xf numFmtId="165" fontId="0" fillId="0" borderId="0" xfId="1" applyNumberFormat="1" applyFont="1"/>
    <xf numFmtId="0" fontId="6" fillId="0" borderId="1" xfId="2" applyBorder="1" applyAlignment="1">
      <alignment vertical="top"/>
    </xf>
    <xf numFmtId="165" fontId="6" fillId="0" borderId="1" xfId="2" applyNumberFormat="1" applyBorder="1" applyAlignment="1">
      <alignment horizontal="center" vertical="center"/>
    </xf>
    <xf numFmtId="0" fontId="6" fillId="0" borderId="1" xfId="2" applyBorder="1" applyAlignment="1">
      <alignment vertical="center"/>
    </xf>
    <xf numFmtId="0" fontId="9" fillId="0" borderId="1" xfId="2" applyFont="1" applyBorder="1" applyAlignment="1">
      <alignment vertical="center"/>
    </xf>
    <xf numFmtId="165" fontId="10" fillId="0" borderId="1" xfId="0" applyNumberFormat="1" applyFont="1" applyBorder="1"/>
    <xf numFmtId="165" fontId="11" fillId="0" borderId="1" xfId="1" applyNumberFormat="1" applyFont="1" applyBorder="1" applyAlignment="1">
      <alignment horizontal="center" vertical="center"/>
    </xf>
    <xf numFmtId="165" fontId="10" fillId="0" borderId="1" xfId="1" applyNumberFormat="1" applyFont="1" applyBorder="1"/>
    <xf numFmtId="0" fontId="10" fillId="0" borderId="1" xfId="0" applyFont="1" applyBorder="1"/>
    <xf numFmtId="165" fontId="12" fillId="0" borderId="1" xfId="0" applyNumberFormat="1" applyFont="1" applyBorder="1"/>
    <xf numFmtId="0" fontId="10" fillId="0" borderId="0" xfId="0" applyFont="1"/>
    <xf numFmtId="0" fontId="13" fillId="0" borderId="2" xfId="0" applyFont="1" applyBorder="1" applyAlignment="1">
      <alignment horizontal="left" vertical="top"/>
    </xf>
    <xf numFmtId="165" fontId="10" fillId="0" borderId="0" xfId="0" applyNumberFormat="1" applyFont="1"/>
    <xf numFmtId="14" fontId="10" fillId="0" borderId="0" xfId="0" applyNumberFormat="1" applyFont="1"/>
    <xf numFmtId="0" fontId="13" fillId="0" borderId="0" xfId="0" applyFont="1" applyAlignment="1">
      <alignment horizontal="left" vertical="top"/>
    </xf>
    <xf numFmtId="20" fontId="10" fillId="0" borderId="0" xfId="0" applyNumberFormat="1" applyFont="1"/>
    <xf numFmtId="0" fontId="13" fillId="0" borderId="3" xfId="0" applyFont="1" applyBorder="1" applyAlignment="1">
      <alignment horizontal="left" vertical="top"/>
    </xf>
    <xf numFmtId="165" fontId="14" fillId="0" borderId="0" xfId="1" applyNumberFormat="1" applyFont="1"/>
  </cellXfs>
  <cellStyles count="3">
    <cellStyle name="Normal_Sheet1" xfId="2" xr:uid="{3F0750B4-68EC-4FA2-AA69-7DAC35DF3485}"/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32DB-7329-4C23-9493-75F2121517C6}">
  <dimension ref="A1:U154"/>
  <sheetViews>
    <sheetView tabSelected="1" topLeftCell="A132" zoomScale="88" workbookViewId="0">
      <selection activeCell="H143" sqref="H143"/>
    </sheetView>
  </sheetViews>
  <sheetFormatPr defaultRowHeight="14.5" x14ac:dyDescent="0.35"/>
  <cols>
    <col min="1" max="1" width="10.26953125" bestFit="1" customWidth="1"/>
    <col min="2" max="2" width="6.453125" bestFit="1" customWidth="1"/>
    <col min="3" max="3" width="5.54296875" customWidth="1"/>
    <col min="4" max="4" width="5.1796875" customWidth="1"/>
    <col min="5" max="5" width="13.7265625" bestFit="1" customWidth="1"/>
    <col min="6" max="6" width="11.7265625" bestFit="1" customWidth="1"/>
    <col min="7" max="7" width="14.453125" bestFit="1" customWidth="1"/>
    <col min="8" max="8" width="17.26953125" customWidth="1"/>
    <col min="9" max="9" width="7" hidden="1" customWidth="1"/>
    <col min="10" max="10" width="17.81640625" customWidth="1"/>
    <col min="11" max="11" width="10.1796875" customWidth="1"/>
    <col min="12" max="12" width="12" style="10" bestFit="1" customWidth="1"/>
    <col min="13" max="14" width="11" style="10" bestFit="1" customWidth="1"/>
    <col min="15" max="15" width="0" style="10" hidden="1" customWidth="1"/>
    <col min="16" max="16" width="11" style="10" bestFit="1" customWidth="1"/>
    <col min="17" max="17" width="0" style="10" hidden="1" customWidth="1"/>
    <col min="18" max="20" width="11" style="10" bestFit="1" customWidth="1"/>
    <col min="21" max="21" width="12" bestFit="1" customWidth="1"/>
  </cols>
  <sheetData>
    <row r="1" spans="1:2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428</v>
      </c>
      <c r="M1" s="7" t="s">
        <v>483</v>
      </c>
      <c r="N1" s="7" t="s">
        <v>429</v>
      </c>
      <c r="O1" s="7" t="s">
        <v>430</v>
      </c>
      <c r="P1" s="7" t="s">
        <v>431</v>
      </c>
      <c r="Q1" s="7" t="s">
        <v>432</v>
      </c>
      <c r="R1" s="7" t="s">
        <v>433</v>
      </c>
      <c r="S1" s="7" t="s">
        <v>434</v>
      </c>
      <c r="T1" s="7" t="s">
        <v>435</v>
      </c>
      <c r="U1" s="7" t="s">
        <v>436</v>
      </c>
    </row>
    <row r="2" spans="1:21" x14ac:dyDescent="0.35">
      <c r="A2" s="5">
        <v>46265</v>
      </c>
      <c r="B2" s="2" t="s">
        <v>11</v>
      </c>
      <c r="C2" s="2" t="s">
        <v>12</v>
      </c>
      <c r="D2" s="2" t="s">
        <v>13</v>
      </c>
      <c r="E2" s="12" t="s">
        <v>14</v>
      </c>
      <c r="F2" s="13" t="s">
        <v>15</v>
      </c>
      <c r="G2" s="2" t="s">
        <v>16</v>
      </c>
      <c r="H2" s="2" t="s">
        <v>17</v>
      </c>
      <c r="I2" s="2">
        <v>129</v>
      </c>
      <c r="J2" s="2" t="s">
        <v>18</v>
      </c>
      <c r="K2" s="2" t="s">
        <v>19</v>
      </c>
      <c r="L2" s="9">
        <v>177.75</v>
      </c>
      <c r="M2" s="11">
        <f>24%*L2</f>
        <v>42.66</v>
      </c>
      <c r="N2" s="9">
        <v>50</v>
      </c>
      <c r="O2" s="9"/>
      <c r="P2" s="9">
        <v>26.58</v>
      </c>
      <c r="Q2" s="9"/>
      <c r="R2" s="9"/>
      <c r="S2" s="9"/>
      <c r="T2" s="9">
        <v>27.5</v>
      </c>
      <c r="U2" s="8" t="s">
        <v>439</v>
      </c>
    </row>
    <row r="3" spans="1:21" x14ac:dyDescent="0.35">
      <c r="A3" s="5">
        <v>46266</v>
      </c>
      <c r="B3" s="2" t="s">
        <v>11</v>
      </c>
      <c r="C3" s="2" t="s">
        <v>65</v>
      </c>
      <c r="D3" s="2" t="s">
        <v>13</v>
      </c>
      <c r="E3" s="12" t="s">
        <v>163</v>
      </c>
      <c r="F3" s="13" t="s">
        <v>15</v>
      </c>
      <c r="G3" s="2" t="s">
        <v>19</v>
      </c>
      <c r="H3" s="2" t="s">
        <v>36</v>
      </c>
      <c r="I3" s="2">
        <v>131</v>
      </c>
      <c r="J3" s="2" t="s">
        <v>37</v>
      </c>
      <c r="K3" s="2" t="s">
        <v>16</v>
      </c>
      <c r="L3" s="26">
        <v>449.33</v>
      </c>
      <c r="M3" s="27">
        <f t="shared" ref="M3:M66" si="0">24%*L3</f>
        <v>107.83919999999999</v>
      </c>
      <c r="N3" s="9">
        <v>50</v>
      </c>
      <c r="O3" s="9"/>
      <c r="P3" s="26">
        <v>110.2</v>
      </c>
      <c r="Q3" s="9"/>
      <c r="R3" s="9">
        <v>36.200000000000003</v>
      </c>
      <c r="S3" s="9">
        <v>20</v>
      </c>
      <c r="T3" s="26">
        <v>55</v>
      </c>
      <c r="U3" s="29" t="s">
        <v>486</v>
      </c>
    </row>
    <row r="4" spans="1:21" x14ac:dyDescent="0.35">
      <c r="A4" s="5">
        <v>46265</v>
      </c>
      <c r="B4" s="2" t="s">
        <v>11</v>
      </c>
      <c r="C4" s="2" t="s">
        <v>20</v>
      </c>
      <c r="D4" s="2" t="s">
        <v>21</v>
      </c>
      <c r="E4" s="2" t="s">
        <v>22</v>
      </c>
      <c r="F4" s="4" t="s">
        <v>23</v>
      </c>
      <c r="G4" s="2" t="s">
        <v>16</v>
      </c>
      <c r="H4" s="2" t="s">
        <v>24</v>
      </c>
      <c r="I4" s="2">
        <v>136</v>
      </c>
      <c r="J4" s="2" t="s">
        <v>25</v>
      </c>
      <c r="K4" s="2" t="s">
        <v>26</v>
      </c>
      <c r="L4" s="26">
        <v>299</v>
      </c>
      <c r="M4" s="27">
        <f t="shared" si="0"/>
        <v>71.759999999999991</v>
      </c>
      <c r="N4" s="9"/>
      <c r="O4" s="9"/>
      <c r="P4" s="26">
        <v>73.92</v>
      </c>
      <c r="Q4" s="9"/>
      <c r="R4" s="9">
        <v>36.200000000000003</v>
      </c>
      <c r="S4" s="9">
        <v>20</v>
      </c>
      <c r="T4" s="9"/>
      <c r="U4" s="8" t="s">
        <v>437</v>
      </c>
    </row>
    <row r="5" spans="1:21" x14ac:dyDescent="0.35">
      <c r="A5" s="5">
        <v>46265</v>
      </c>
      <c r="B5" s="2" t="s">
        <v>11</v>
      </c>
      <c r="C5" s="2" t="s">
        <v>27</v>
      </c>
      <c r="D5" s="2" t="s">
        <v>13</v>
      </c>
      <c r="E5" s="2" t="s">
        <v>28</v>
      </c>
      <c r="F5" s="6" t="s">
        <v>29</v>
      </c>
      <c r="G5" s="2" t="s">
        <v>30</v>
      </c>
      <c r="H5" s="2" t="s">
        <v>31</v>
      </c>
      <c r="I5" s="2">
        <v>181</v>
      </c>
      <c r="J5" s="2" t="s">
        <v>32</v>
      </c>
      <c r="K5" s="2" t="s">
        <v>16</v>
      </c>
      <c r="L5" s="9">
        <v>388.3</v>
      </c>
      <c r="M5" s="11">
        <f t="shared" si="0"/>
        <v>93.191999999999993</v>
      </c>
      <c r="N5" s="9"/>
      <c r="O5" s="9"/>
      <c r="P5" s="26">
        <v>72.23</v>
      </c>
      <c r="Q5" s="9"/>
      <c r="R5" s="9">
        <v>36.200000000000003</v>
      </c>
      <c r="S5" s="9">
        <v>20</v>
      </c>
      <c r="T5" s="9"/>
      <c r="U5" s="8" t="s">
        <v>437</v>
      </c>
    </row>
    <row r="6" spans="1:21" x14ac:dyDescent="0.35">
      <c r="A6" s="5">
        <v>46265</v>
      </c>
      <c r="B6" s="2" t="s">
        <v>11</v>
      </c>
      <c r="C6" s="2" t="s">
        <v>33</v>
      </c>
      <c r="D6" s="2" t="s">
        <v>13</v>
      </c>
      <c r="E6" s="2" t="s">
        <v>34</v>
      </c>
      <c r="F6" s="4" t="s">
        <v>35</v>
      </c>
      <c r="G6" s="2" t="s">
        <v>30</v>
      </c>
      <c r="H6" s="2" t="s">
        <v>36</v>
      </c>
      <c r="I6" s="2">
        <v>131</v>
      </c>
      <c r="J6" s="2" t="s">
        <v>37</v>
      </c>
      <c r="K6" s="2" t="s">
        <v>16</v>
      </c>
      <c r="L6" s="26">
        <v>299</v>
      </c>
      <c r="M6" s="27">
        <f t="shared" si="0"/>
        <v>71.759999999999991</v>
      </c>
      <c r="N6" s="9"/>
      <c r="O6" s="9"/>
      <c r="P6" s="26">
        <v>72.23</v>
      </c>
      <c r="Q6" s="9"/>
      <c r="R6" s="9">
        <v>36.200000000000003</v>
      </c>
      <c r="S6" s="9">
        <v>20</v>
      </c>
      <c r="T6" s="9"/>
      <c r="U6" s="8" t="s">
        <v>437</v>
      </c>
    </row>
    <row r="7" spans="1:21" x14ac:dyDescent="0.35">
      <c r="A7" s="5">
        <v>46265</v>
      </c>
      <c r="B7" s="2" t="s">
        <v>11</v>
      </c>
      <c r="C7" s="2" t="s">
        <v>38</v>
      </c>
      <c r="D7" s="2" t="s">
        <v>13</v>
      </c>
      <c r="E7" s="14" t="s">
        <v>39</v>
      </c>
      <c r="F7" s="15" t="s">
        <v>40</v>
      </c>
      <c r="G7" s="2" t="s">
        <v>16</v>
      </c>
      <c r="H7" s="2" t="s">
        <v>41</v>
      </c>
      <c r="I7" s="2">
        <v>19</v>
      </c>
      <c r="J7" s="2" t="s">
        <v>42</v>
      </c>
      <c r="K7" s="2" t="s">
        <v>19</v>
      </c>
      <c r="L7" s="26">
        <v>90</v>
      </c>
      <c r="M7" s="27">
        <f t="shared" si="0"/>
        <v>21.599999999999998</v>
      </c>
      <c r="N7" s="9">
        <v>50</v>
      </c>
      <c r="O7" s="9"/>
      <c r="P7" s="9">
        <v>4.9400000000000004</v>
      </c>
      <c r="Q7" s="9"/>
      <c r="R7" s="9"/>
      <c r="S7" s="9"/>
      <c r="T7" s="9"/>
      <c r="U7" s="8"/>
    </row>
    <row r="8" spans="1:21" x14ac:dyDescent="0.35">
      <c r="A8" s="5">
        <v>46265</v>
      </c>
      <c r="B8" s="2" t="s">
        <v>11</v>
      </c>
      <c r="C8" s="2" t="s">
        <v>53</v>
      </c>
      <c r="D8" s="2" t="s">
        <v>13</v>
      </c>
      <c r="E8" s="14" t="s">
        <v>54</v>
      </c>
      <c r="F8" s="15" t="s">
        <v>40</v>
      </c>
      <c r="G8" s="2" t="s">
        <v>19</v>
      </c>
      <c r="H8" s="2" t="s">
        <v>46</v>
      </c>
      <c r="I8" s="2">
        <v>53</v>
      </c>
      <c r="J8" s="2" t="s">
        <v>47</v>
      </c>
      <c r="K8" s="2" t="s">
        <v>16</v>
      </c>
      <c r="L8" s="26">
        <v>150</v>
      </c>
      <c r="M8" s="27">
        <f t="shared" si="0"/>
        <v>36</v>
      </c>
      <c r="N8" s="9">
        <v>50</v>
      </c>
      <c r="O8" s="9"/>
      <c r="P8" s="26">
        <v>24.74</v>
      </c>
      <c r="Q8" s="9"/>
      <c r="R8" s="9">
        <v>36.200000000000003</v>
      </c>
      <c r="S8" s="9">
        <v>20</v>
      </c>
      <c r="T8" s="9">
        <v>55</v>
      </c>
      <c r="U8" s="8" t="s">
        <v>456</v>
      </c>
    </row>
    <row r="9" spans="1:21" x14ac:dyDescent="0.35">
      <c r="A9" s="5">
        <v>46265</v>
      </c>
      <c r="B9" s="2" t="s">
        <v>11</v>
      </c>
      <c r="C9" s="2" t="s">
        <v>43</v>
      </c>
      <c r="D9" s="2" t="s">
        <v>13</v>
      </c>
      <c r="E9" s="2" t="s">
        <v>44</v>
      </c>
      <c r="F9" s="6" t="s">
        <v>45</v>
      </c>
      <c r="G9" s="2" t="s">
        <v>30</v>
      </c>
      <c r="H9" s="2" t="s">
        <v>46</v>
      </c>
      <c r="I9" s="2">
        <v>53</v>
      </c>
      <c r="J9" s="2" t="s">
        <v>47</v>
      </c>
      <c r="K9" s="2" t="s">
        <v>16</v>
      </c>
      <c r="L9" s="9">
        <v>210</v>
      </c>
      <c r="M9" s="11">
        <f t="shared" si="0"/>
        <v>50.4</v>
      </c>
      <c r="N9" s="9"/>
      <c r="O9" s="9"/>
      <c r="P9" s="26">
        <v>29.68</v>
      </c>
      <c r="Q9" s="9"/>
      <c r="R9" s="9">
        <v>36.200000000000003</v>
      </c>
      <c r="S9" s="9">
        <v>20</v>
      </c>
      <c r="T9" s="9">
        <v>68.75</v>
      </c>
      <c r="U9" s="8" t="s">
        <v>453</v>
      </c>
    </row>
    <row r="10" spans="1:21" x14ac:dyDescent="0.35">
      <c r="A10" s="5">
        <v>46265</v>
      </c>
      <c r="B10" s="2" t="s">
        <v>11</v>
      </c>
      <c r="C10" s="2" t="s">
        <v>48</v>
      </c>
      <c r="D10" s="2" t="s">
        <v>13</v>
      </c>
      <c r="E10" s="12" t="s">
        <v>49</v>
      </c>
      <c r="F10" s="13" t="s">
        <v>50</v>
      </c>
      <c r="G10" s="2" t="s">
        <v>16</v>
      </c>
      <c r="H10" s="2" t="s">
        <v>17</v>
      </c>
      <c r="I10" s="2">
        <v>129</v>
      </c>
      <c r="J10" s="2" t="s">
        <v>18</v>
      </c>
      <c r="K10" s="2" t="s">
        <v>19</v>
      </c>
      <c r="L10" s="9">
        <v>166</v>
      </c>
      <c r="M10" s="11">
        <f t="shared" si="0"/>
        <v>39.839999999999996</v>
      </c>
      <c r="N10" s="9">
        <v>50</v>
      </c>
      <c r="O10" s="9"/>
      <c r="P10" s="9">
        <v>28.7</v>
      </c>
      <c r="Q10" s="9"/>
      <c r="R10" s="9"/>
      <c r="S10" s="9"/>
      <c r="T10" s="9">
        <v>82.5</v>
      </c>
      <c r="U10" s="8" t="s">
        <v>440</v>
      </c>
    </row>
    <row r="11" spans="1:21" x14ac:dyDescent="0.35">
      <c r="A11" s="5">
        <v>46266</v>
      </c>
      <c r="B11" s="2" t="s">
        <v>11</v>
      </c>
      <c r="C11" s="2" t="s">
        <v>128</v>
      </c>
      <c r="D11" s="2" t="s">
        <v>13</v>
      </c>
      <c r="E11" s="12" t="s">
        <v>146</v>
      </c>
      <c r="F11" s="13" t="s">
        <v>50</v>
      </c>
      <c r="G11" s="2" t="s">
        <v>19</v>
      </c>
      <c r="H11" s="2" t="s">
        <v>147</v>
      </c>
      <c r="I11" s="2">
        <v>67</v>
      </c>
      <c r="J11" s="2" t="s">
        <v>148</v>
      </c>
      <c r="K11" s="2" t="s">
        <v>16</v>
      </c>
      <c r="L11" s="26">
        <v>222.66</v>
      </c>
      <c r="M11" s="27">
        <f t="shared" si="0"/>
        <v>53.438399999999994</v>
      </c>
      <c r="N11" s="9">
        <v>50</v>
      </c>
      <c r="O11" s="9"/>
      <c r="P11" s="26">
        <v>50.83</v>
      </c>
      <c r="Q11" s="9"/>
      <c r="R11" s="9">
        <v>36.200000000000003</v>
      </c>
      <c r="S11" s="9">
        <v>20</v>
      </c>
      <c r="T11" s="26">
        <v>110</v>
      </c>
      <c r="U11" s="29" t="s">
        <v>485</v>
      </c>
    </row>
    <row r="12" spans="1:21" x14ac:dyDescent="0.35">
      <c r="A12" s="5">
        <v>46265</v>
      </c>
      <c r="B12" s="2" t="s">
        <v>11</v>
      </c>
      <c r="C12" s="2" t="s">
        <v>43</v>
      </c>
      <c r="D12" s="2" t="s">
        <v>13</v>
      </c>
      <c r="E12" s="14" t="s">
        <v>51</v>
      </c>
      <c r="F12" s="15" t="s">
        <v>52</v>
      </c>
      <c r="G12" s="2" t="s">
        <v>16</v>
      </c>
      <c r="H12" s="2" t="s">
        <v>17</v>
      </c>
      <c r="I12" s="2">
        <v>129</v>
      </c>
      <c r="J12" s="2" t="s">
        <v>18</v>
      </c>
      <c r="K12" s="2" t="s">
        <v>19</v>
      </c>
      <c r="L12" s="9">
        <v>162</v>
      </c>
      <c r="M12" s="11">
        <f t="shared" si="0"/>
        <v>38.879999999999995</v>
      </c>
      <c r="N12" s="9">
        <v>50</v>
      </c>
      <c r="O12" s="9"/>
      <c r="P12" s="9">
        <v>31.05</v>
      </c>
      <c r="Q12" s="9"/>
      <c r="R12" s="9"/>
      <c r="S12" s="9"/>
      <c r="T12" s="9">
        <v>55</v>
      </c>
      <c r="U12" s="8" t="s">
        <v>442</v>
      </c>
    </row>
    <row r="13" spans="1:21" x14ac:dyDescent="0.35">
      <c r="A13" s="5">
        <v>46266</v>
      </c>
      <c r="B13" s="2" t="s">
        <v>11</v>
      </c>
      <c r="C13" s="2" t="s">
        <v>133</v>
      </c>
      <c r="D13" s="2" t="s">
        <v>13</v>
      </c>
      <c r="E13" s="14" t="s">
        <v>196</v>
      </c>
      <c r="F13" s="15" t="s">
        <v>52</v>
      </c>
      <c r="G13" s="2" t="s">
        <v>19</v>
      </c>
      <c r="H13" s="2" t="s">
        <v>197</v>
      </c>
      <c r="I13" s="2">
        <v>105</v>
      </c>
      <c r="J13" s="2" t="s">
        <v>198</v>
      </c>
      <c r="K13" s="2" t="s">
        <v>16</v>
      </c>
      <c r="L13" s="9">
        <v>378.76</v>
      </c>
      <c r="M13" s="11">
        <f t="shared" si="0"/>
        <v>90.9024</v>
      </c>
      <c r="N13" s="9">
        <v>50</v>
      </c>
      <c r="O13" s="9"/>
      <c r="P13" s="26">
        <v>81.510000000000005</v>
      </c>
      <c r="Q13" s="9"/>
      <c r="R13" s="9">
        <v>36.200000000000003</v>
      </c>
      <c r="S13" s="9">
        <v>20</v>
      </c>
      <c r="T13" s="9"/>
      <c r="U13" s="8" t="s">
        <v>437</v>
      </c>
    </row>
    <row r="14" spans="1:21" x14ac:dyDescent="0.35">
      <c r="A14" s="5">
        <v>46265</v>
      </c>
      <c r="B14" s="2" t="s">
        <v>11</v>
      </c>
      <c r="C14" s="2" t="s">
        <v>55</v>
      </c>
      <c r="D14" s="2" t="s">
        <v>13</v>
      </c>
      <c r="E14" s="2" t="s">
        <v>56</v>
      </c>
      <c r="F14" s="6" t="s">
        <v>57</v>
      </c>
      <c r="G14" s="2" t="s">
        <v>30</v>
      </c>
      <c r="H14" s="2" t="s">
        <v>58</v>
      </c>
      <c r="I14" s="2">
        <v>185</v>
      </c>
      <c r="J14" s="2" t="s">
        <v>59</v>
      </c>
      <c r="K14" s="2" t="s">
        <v>16</v>
      </c>
      <c r="L14" s="26">
        <v>411.32</v>
      </c>
      <c r="M14" s="27">
        <f t="shared" si="0"/>
        <v>98.716799999999992</v>
      </c>
      <c r="N14" s="9"/>
      <c r="O14" s="9"/>
      <c r="P14" s="26">
        <v>72.23</v>
      </c>
      <c r="Q14" s="9"/>
      <c r="R14" s="9">
        <v>36.200000000000003</v>
      </c>
      <c r="S14" s="9">
        <v>20</v>
      </c>
      <c r="T14" s="9"/>
      <c r="U14" s="8" t="s">
        <v>437</v>
      </c>
    </row>
    <row r="15" spans="1:21" x14ac:dyDescent="0.35">
      <c r="A15" s="5">
        <v>46265</v>
      </c>
      <c r="B15" s="2" t="s">
        <v>11</v>
      </c>
      <c r="C15" s="2" t="s">
        <v>27</v>
      </c>
      <c r="D15" s="12" t="s">
        <v>60</v>
      </c>
      <c r="E15" s="2" t="s">
        <v>61</v>
      </c>
      <c r="F15" s="4" t="s">
        <v>62</v>
      </c>
      <c r="G15" s="2" t="s">
        <v>30</v>
      </c>
      <c r="H15" s="2" t="s">
        <v>63</v>
      </c>
      <c r="I15" s="2">
        <v>82</v>
      </c>
      <c r="J15" s="2" t="s">
        <v>64</v>
      </c>
      <c r="K15" s="2" t="s">
        <v>16</v>
      </c>
      <c r="L15" s="9">
        <v>242</v>
      </c>
      <c r="M15" s="11">
        <f t="shared" si="0"/>
        <v>58.08</v>
      </c>
      <c r="N15" s="9"/>
      <c r="O15" s="9"/>
      <c r="P15" s="26">
        <v>45.92</v>
      </c>
      <c r="Q15" s="9"/>
      <c r="R15" s="9"/>
      <c r="S15" s="9">
        <v>100</v>
      </c>
      <c r="T15" s="9">
        <v>27.5</v>
      </c>
      <c r="U15" s="8" t="s">
        <v>457</v>
      </c>
    </row>
    <row r="16" spans="1:21" x14ac:dyDescent="0.35">
      <c r="A16" s="5">
        <v>46265</v>
      </c>
      <c r="B16" s="2" t="s">
        <v>11</v>
      </c>
      <c r="C16" s="2" t="s">
        <v>65</v>
      </c>
      <c r="D16" s="2" t="s">
        <v>21</v>
      </c>
      <c r="E16" s="2" t="s">
        <v>66</v>
      </c>
      <c r="F16" s="6" t="s">
        <v>67</v>
      </c>
      <c r="G16" s="2" t="s">
        <v>30</v>
      </c>
      <c r="H16" s="2" t="s">
        <v>68</v>
      </c>
      <c r="I16" s="2">
        <v>72</v>
      </c>
      <c r="J16" s="2" t="s">
        <v>69</v>
      </c>
      <c r="K16" s="2" t="s">
        <v>16</v>
      </c>
      <c r="L16" s="9">
        <v>229</v>
      </c>
      <c r="M16" s="11">
        <f t="shared" si="0"/>
        <v>54.96</v>
      </c>
      <c r="N16" s="9"/>
      <c r="O16" s="9"/>
      <c r="P16" s="9">
        <v>34.57</v>
      </c>
      <c r="Q16" s="9"/>
      <c r="R16" s="26">
        <v>36.200000000000003</v>
      </c>
      <c r="S16" s="9">
        <v>90</v>
      </c>
      <c r="T16" s="9">
        <v>82.5</v>
      </c>
      <c r="U16" s="8" t="s">
        <v>458</v>
      </c>
    </row>
    <row r="17" spans="1:21" x14ac:dyDescent="0.35">
      <c r="A17" s="5">
        <v>46265</v>
      </c>
      <c r="B17" s="2" t="s">
        <v>11</v>
      </c>
      <c r="C17" s="2" t="s">
        <v>70</v>
      </c>
      <c r="D17" s="2" t="s">
        <v>13</v>
      </c>
      <c r="E17" s="2" t="s">
        <v>71</v>
      </c>
      <c r="F17" s="6" t="s">
        <v>72</v>
      </c>
      <c r="G17" s="2" t="s">
        <v>30</v>
      </c>
      <c r="H17" s="2" t="s">
        <v>73</v>
      </c>
      <c r="I17" s="2">
        <v>57</v>
      </c>
      <c r="J17" s="2" t="s">
        <v>74</v>
      </c>
      <c r="K17" s="2" t="s">
        <v>16</v>
      </c>
      <c r="L17" s="9">
        <v>210</v>
      </c>
      <c r="M17" s="11">
        <f t="shared" si="0"/>
        <v>50.4</v>
      </c>
      <c r="N17" s="9"/>
      <c r="O17" s="9"/>
      <c r="P17" s="9">
        <v>33.04</v>
      </c>
      <c r="Q17" s="9"/>
      <c r="R17" s="9"/>
      <c r="S17" s="9">
        <v>20</v>
      </c>
      <c r="T17" s="9"/>
      <c r="U17" s="8" t="s">
        <v>437</v>
      </c>
    </row>
    <row r="18" spans="1:21" x14ac:dyDescent="0.35">
      <c r="A18" s="5">
        <v>46265</v>
      </c>
      <c r="B18" s="2" t="s">
        <v>11</v>
      </c>
      <c r="C18" s="2" t="s">
        <v>65</v>
      </c>
      <c r="D18" s="2" t="s">
        <v>13</v>
      </c>
      <c r="E18" s="2" t="s">
        <v>75</v>
      </c>
      <c r="F18" s="4" t="s">
        <v>76</v>
      </c>
      <c r="G18" s="2" t="s">
        <v>30</v>
      </c>
      <c r="H18" s="2" t="s">
        <v>36</v>
      </c>
      <c r="I18" s="2">
        <v>131</v>
      </c>
      <c r="J18" s="2" t="s">
        <v>37</v>
      </c>
      <c r="K18" s="2" t="s">
        <v>16</v>
      </c>
      <c r="L18" s="26">
        <v>299</v>
      </c>
      <c r="M18" s="27">
        <f t="shared" si="0"/>
        <v>71.759999999999991</v>
      </c>
      <c r="N18" s="9"/>
      <c r="O18" s="9"/>
      <c r="P18" s="26">
        <v>72.23</v>
      </c>
      <c r="Q18" s="9"/>
      <c r="R18" s="9">
        <v>36.200000000000003</v>
      </c>
      <c r="S18" s="9">
        <v>20</v>
      </c>
      <c r="T18" s="9"/>
      <c r="U18" s="8" t="s">
        <v>437</v>
      </c>
    </row>
    <row r="19" spans="1:21" x14ac:dyDescent="0.35">
      <c r="A19" s="5">
        <v>46265</v>
      </c>
      <c r="B19" s="2" t="s">
        <v>11</v>
      </c>
      <c r="C19" s="2" t="s">
        <v>27</v>
      </c>
      <c r="D19" s="2" t="s">
        <v>13</v>
      </c>
      <c r="E19" s="2" t="s">
        <v>77</v>
      </c>
      <c r="F19" s="6" t="s">
        <v>78</v>
      </c>
      <c r="G19" s="2" t="s">
        <v>30</v>
      </c>
      <c r="H19" s="2" t="s">
        <v>79</v>
      </c>
      <c r="I19" s="2">
        <v>55</v>
      </c>
      <c r="J19" s="2" t="s">
        <v>80</v>
      </c>
      <c r="K19" s="2" t="s">
        <v>16</v>
      </c>
      <c r="L19" s="9">
        <v>210</v>
      </c>
      <c r="M19" s="11">
        <f t="shared" si="0"/>
        <v>50.4</v>
      </c>
      <c r="N19" s="9"/>
      <c r="O19" s="9"/>
      <c r="P19" s="26">
        <v>30.24</v>
      </c>
      <c r="Q19" s="9"/>
      <c r="R19" s="9"/>
      <c r="S19" s="9">
        <v>20</v>
      </c>
      <c r="T19" s="9"/>
      <c r="U19" s="8" t="s">
        <v>437</v>
      </c>
    </row>
    <row r="20" spans="1:21" x14ac:dyDescent="0.35">
      <c r="A20" s="5">
        <v>46265</v>
      </c>
      <c r="B20" s="2" t="s">
        <v>11</v>
      </c>
      <c r="C20" s="2" t="s">
        <v>55</v>
      </c>
      <c r="D20" s="2" t="s">
        <v>13</v>
      </c>
      <c r="E20" s="2" t="s">
        <v>81</v>
      </c>
      <c r="F20" s="6" t="s">
        <v>82</v>
      </c>
      <c r="G20" s="2" t="s">
        <v>30</v>
      </c>
      <c r="H20" s="2" t="s">
        <v>83</v>
      </c>
      <c r="I20" s="2">
        <v>140</v>
      </c>
      <c r="J20" s="2" t="s">
        <v>84</v>
      </c>
      <c r="K20" s="2" t="s">
        <v>16</v>
      </c>
      <c r="L20" s="9">
        <v>322</v>
      </c>
      <c r="M20" s="11">
        <f t="shared" si="0"/>
        <v>77.28</v>
      </c>
      <c r="N20" s="9"/>
      <c r="O20" s="9"/>
      <c r="P20" s="26">
        <v>80.040000000000006</v>
      </c>
      <c r="Q20" s="9"/>
      <c r="R20" s="26">
        <v>36.200000000000003</v>
      </c>
      <c r="S20" s="9">
        <v>20</v>
      </c>
      <c r="T20" s="9"/>
      <c r="U20" s="8" t="s">
        <v>437</v>
      </c>
    </row>
    <row r="21" spans="1:21" x14ac:dyDescent="0.35">
      <c r="A21" s="5">
        <v>46265</v>
      </c>
      <c r="B21" s="2" t="s">
        <v>11</v>
      </c>
      <c r="C21" s="2" t="s">
        <v>27</v>
      </c>
      <c r="D21" s="12" t="s">
        <v>60</v>
      </c>
      <c r="E21" s="2" t="s">
        <v>85</v>
      </c>
      <c r="F21" s="4" t="s">
        <v>86</v>
      </c>
      <c r="G21" s="2" t="s">
        <v>30</v>
      </c>
      <c r="H21" s="2" t="s">
        <v>63</v>
      </c>
      <c r="I21" s="2">
        <v>82</v>
      </c>
      <c r="J21" s="2" t="s">
        <v>64</v>
      </c>
      <c r="K21" s="2" t="s">
        <v>16</v>
      </c>
      <c r="L21" s="9">
        <v>242</v>
      </c>
      <c r="M21" s="11">
        <f t="shared" si="0"/>
        <v>58.08</v>
      </c>
      <c r="N21" s="9"/>
      <c r="O21" s="9"/>
      <c r="P21" s="26">
        <v>45.92</v>
      </c>
      <c r="Q21" s="9"/>
      <c r="R21" s="9"/>
      <c r="S21" s="9">
        <v>100</v>
      </c>
      <c r="T21" s="9">
        <v>27.5</v>
      </c>
      <c r="U21" s="8" t="s">
        <v>460</v>
      </c>
    </row>
    <row r="22" spans="1:21" x14ac:dyDescent="0.35">
      <c r="A22" s="5">
        <v>46265</v>
      </c>
      <c r="B22" s="2" t="s">
        <v>11</v>
      </c>
      <c r="C22" s="2" t="s">
        <v>27</v>
      </c>
      <c r="D22" s="2" t="s">
        <v>13</v>
      </c>
      <c r="E22" s="2" t="s">
        <v>87</v>
      </c>
      <c r="F22" s="4" t="s">
        <v>88</v>
      </c>
      <c r="G22" s="2" t="s">
        <v>30</v>
      </c>
      <c r="H22" s="2" t="s">
        <v>89</v>
      </c>
      <c r="I22" s="2">
        <v>200</v>
      </c>
      <c r="J22" s="2" t="s">
        <v>90</v>
      </c>
      <c r="K22" s="2" t="s">
        <v>16</v>
      </c>
      <c r="L22" s="9">
        <v>431.2</v>
      </c>
      <c r="M22" s="11">
        <f t="shared" si="0"/>
        <v>103.488</v>
      </c>
      <c r="N22" s="9"/>
      <c r="O22" s="9"/>
      <c r="P22" s="26">
        <v>72.23</v>
      </c>
      <c r="Q22" s="9"/>
      <c r="R22" s="9">
        <v>36.200000000000003</v>
      </c>
      <c r="S22" s="9">
        <v>20</v>
      </c>
      <c r="T22" s="9"/>
      <c r="U22" s="8" t="s">
        <v>437</v>
      </c>
    </row>
    <row r="23" spans="1:21" x14ac:dyDescent="0.35">
      <c r="A23" s="5">
        <v>46265</v>
      </c>
      <c r="B23" s="2" t="s">
        <v>11</v>
      </c>
      <c r="C23" s="2" t="s">
        <v>27</v>
      </c>
      <c r="D23" s="2" t="s">
        <v>13</v>
      </c>
      <c r="E23" s="2" t="s">
        <v>91</v>
      </c>
      <c r="F23" s="4" t="s">
        <v>92</v>
      </c>
      <c r="G23" s="2" t="s">
        <v>30</v>
      </c>
      <c r="H23" s="2" t="s">
        <v>93</v>
      </c>
      <c r="I23" s="2">
        <v>48</v>
      </c>
      <c r="J23" s="2" t="s">
        <v>94</v>
      </c>
      <c r="K23" s="2" t="s">
        <v>16</v>
      </c>
      <c r="L23" s="18">
        <v>205</v>
      </c>
      <c r="M23" s="11">
        <f t="shared" si="0"/>
        <v>49.199999999999996</v>
      </c>
      <c r="N23" s="18"/>
      <c r="O23" s="18"/>
      <c r="P23" s="28">
        <v>29.68</v>
      </c>
      <c r="Q23" s="18"/>
      <c r="R23" s="28">
        <v>36.200000000000003</v>
      </c>
      <c r="S23" s="9">
        <v>20</v>
      </c>
      <c r="T23" s="9">
        <v>27.5</v>
      </c>
      <c r="U23" s="8" t="s">
        <v>461</v>
      </c>
    </row>
    <row r="24" spans="1:21" x14ac:dyDescent="0.35">
      <c r="A24" s="5">
        <v>46265</v>
      </c>
      <c r="B24" s="2" t="s">
        <v>11</v>
      </c>
      <c r="C24" s="2" t="s">
        <v>65</v>
      </c>
      <c r="D24" s="2" t="s">
        <v>13</v>
      </c>
      <c r="E24" s="2" t="s">
        <v>95</v>
      </c>
      <c r="F24" s="4" t="s">
        <v>96</v>
      </c>
      <c r="G24" s="2" t="s">
        <v>30</v>
      </c>
      <c r="H24" s="2" t="s">
        <v>97</v>
      </c>
      <c r="I24" s="2">
        <v>76</v>
      </c>
      <c r="J24" s="2" t="s">
        <v>98</v>
      </c>
      <c r="K24" s="2" t="s">
        <v>16</v>
      </c>
      <c r="L24" s="18">
        <v>236</v>
      </c>
      <c r="M24" s="11">
        <f t="shared" si="0"/>
        <v>56.64</v>
      </c>
      <c r="N24" s="18"/>
      <c r="O24" s="18"/>
      <c r="P24" s="18">
        <v>37.32</v>
      </c>
      <c r="Q24" s="18"/>
      <c r="R24" s="18">
        <v>36.200000000000003</v>
      </c>
      <c r="S24" s="9">
        <v>20</v>
      </c>
      <c r="T24" s="9"/>
      <c r="U24" s="8" t="s">
        <v>437</v>
      </c>
    </row>
    <row r="25" spans="1:21" x14ac:dyDescent="0.35">
      <c r="A25" s="5">
        <v>46265</v>
      </c>
      <c r="B25" s="2" t="s">
        <v>11</v>
      </c>
      <c r="C25" s="2" t="s">
        <v>27</v>
      </c>
      <c r="D25" s="2" t="s">
        <v>13</v>
      </c>
      <c r="E25" s="2" t="s">
        <v>99</v>
      </c>
      <c r="F25" s="4" t="s">
        <v>100</v>
      </c>
      <c r="G25" s="2" t="s">
        <v>30</v>
      </c>
      <c r="H25" s="2" t="s">
        <v>101</v>
      </c>
      <c r="I25" s="2">
        <v>144</v>
      </c>
      <c r="J25" s="2" t="s">
        <v>102</v>
      </c>
      <c r="K25" s="2" t="s">
        <v>16</v>
      </c>
      <c r="L25" s="26">
        <v>334</v>
      </c>
      <c r="M25" s="27">
        <f t="shared" si="0"/>
        <v>80.16</v>
      </c>
      <c r="N25" s="9"/>
      <c r="O25" s="9"/>
      <c r="P25" s="26">
        <v>90.41</v>
      </c>
      <c r="Q25" s="9"/>
      <c r="R25" s="26">
        <v>36.200000000000003</v>
      </c>
      <c r="S25" s="9">
        <v>20</v>
      </c>
      <c r="T25" s="9"/>
      <c r="U25" s="8" t="s">
        <v>437</v>
      </c>
    </row>
    <row r="26" spans="1:21" x14ac:dyDescent="0.35">
      <c r="A26" s="5">
        <v>46265</v>
      </c>
      <c r="B26" s="2" t="s">
        <v>11</v>
      </c>
      <c r="C26" s="2" t="s">
        <v>20</v>
      </c>
      <c r="D26" s="2" t="s">
        <v>13</v>
      </c>
      <c r="E26" s="2" t="s">
        <v>103</v>
      </c>
      <c r="F26" s="6" t="s">
        <v>104</v>
      </c>
      <c r="G26" s="2" t="s">
        <v>30</v>
      </c>
      <c r="H26" s="2" t="s">
        <v>105</v>
      </c>
      <c r="I26" s="2">
        <v>130</v>
      </c>
      <c r="J26" s="2" t="s">
        <v>106</v>
      </c>
      <c r="K26" s="2" t="s">
        <v>16</v>
      </c>
      <c r="L26" s="9">
        <v>299</v>
      </c>
      <c r="M26" s="11">
        <f t="shared" si="0"/>
        <v>71.759999999999991</v>
      </c>
      <c r="N26" s="9"/>
      <c r="O26" s="9"/>
      <c r="P26" s="9">
        <v>63.25</v>
      </c>
      <c r="Q26" s="9"/>
      <c r="R26" s="9"/>
      <c r="S26" s="9">
        <v>20</v>
      </c>
      <c r="T26" s="9">
        <v>55</v>
      </c>
      <c r="U26" s="8" t="s">
        <v>463</v>
      </c>
    </row>
    <row r="27" spans="1:21" x14ac:dyDescent="0.35">
      <c r="A27" s="5">
        <v>46265</v>
      </c>
      <c r="B27" s="2" t="s">
        <v>11</v>
      </c>
      <c r="C27" s="2" t="s">
        <v>107</v>
      </c>
      <c r="D27" s="2" t="s">
        <v>13</v>
      </c>
      <c r="E27" s="2" t="s">
        <v>108</v>
      </c>
      <c r="F27" s="6" t="s">
        <v>109</v>
      </c>
      <c r="G27" s="2" t="s">
        <v>30</v>
      </c>
      <c r="H27" s="2" t="s">
        <v>110</v>
      </c>
      <c r="I27" s="2">
        <v>81</v>
      </c>
      <c r="J27" s="2" t="s">
        <v>111</v>
      </c>
      <c r="K27" s="2" t="s">
        <v>16</v>
      </c>
      <c r="L27" s="9">
        <v>242</v>
      </c>
      <c r="M27" s="11">
        <f t="shared" si="0"/>
        <v>58.08</v>
      </c>
      <c r="N27" s="9"/>
      <c r="O27" s="9"/>
      <c r="P27" s="9">
        <v>40.1</v>
      </c>
      <c r="Q27" s="9"/>
      <c r="R27" s="9"/>
      <c r="S27" s="9">
        <v>20</v>
      </c>
      <c r="T27" s="9">
        <v>110</v>
      </c>
      <c r="U27" s="8" t="s">
        <v>464</v>
      </c>
    </row>
    <row r="28" spans="1:21" x14ac:dyDescent="0.35">
      <c r="A28" s="5">
        <v>46265</v>
      </c>
      <c r="B28" s="2" t="s">
        <v>11</v>
      </c>
      <c r="C28" s="2" t="s">
        <v>27</v>
      </c>
      <c r="D28" s="2" t="s">
        <v>13</v>
      </c>
      <c r="E28" s="2" t="s">
        <v>112</v>
      </c>
      <c r="F28" s="4" t="s">
        <v>113</v>
      </c>
      <c r="G28" s="2" t="s">
        <v>30</v>
      </c>
      <c r="H28" s="2" t="s">
        <v>114</v>
      </c>
      <c r="I28" s="2">
        <v>87</v>
      </c>
      <c r="J28" s="2" t="s">
        <v>115</v>
      </c>
      <c r="K28" s="2" t="s">
        <v>16</v>
      </c>
      <c r="L28" s="9">
        <v>251</v>
      </c>
      <c r="M28" s="11">
        <f t="shared" si="0"/>
        <v>60.239999999999995</v>
      </c>
      <c r="N28" s="9"/>
      <c r="O28" s="9"/>
      <c r="P28" s="26">
        <v>60.48</v>
      </c>
      <c r="Q28" s="9"/>
      <c r="R28" s="9">
        <v>36.200000000000003</v>
      </c>
      <c r="S28" s="9">
        <v>20</v>
      </c>
      <c r="T28" s="9"/>
      <c r="U28" s="8" t="s">
        <v>437</v>
      </c>
    </row>
    <row r="29" spans="1:21" x14ac:dyDescent="0.35">
      <c r="A29" s="5">
        <v>46265</v>
      </c>
      <c r="B29" s="2" t="s">
        <v>11</v>
      </c>
      <c r="C29" s="2" t="s">
        <v>27</v>
      </c>
      <c r="D29" s="2" t="s">
        <v>13</v>
      </c>
      <c r="E29" s="2" t="s">
        <v>116</v>
      </c>
      <c r="F29" s="6" t="s">
        <v>117</v>
      </c>
      <c r="G29" s="2" t="s">
        <v>30</v>
      </c>
      <c r="H29" s="2" t="s">
        <v>114</v>
      </c>
      <c r="I29" s="2">
        <v>87</v>
      </c>
      <c r="J29" s="2" t="s">
        <v>115</v>
      </c>
      <c r="K29" s="2" t="s">
        <v>16</v>
      </c>
      <c r="L29" s="9">
        <v>251</v>
      </c>
      <c r="M29" s="11">
        <f t="shared" si="0"/>
        <v>60.239999999999995</v>
      </c>
      <c r="N29" s="9"/>
      <c r="O29" s="9"/>
      <c r="P29" s="26">
        <v>60.48</v>
      </c>
      <c r="Q29" s="9"/>
      <c r="R29" s="9">
        <v>36.200000000000003</v>
      </c>
      <c r="S29" s="9">
        <v>20</v>
      </c>
      <c r="T29" s="9"/>
      <c r="U29" s="8" t="s">
        <v>437</v>
      </c>
    </row>
    <row r="30" spans="1:21" x14ac:dyDescent="0.35">
      <c r="A30" s="5">
        <v>46265</v>
      </c>
      <c r="B30" s="2" t="s">
        <v>11</v>
      </c>
      <c r="C30" s="2" t="s">
        <v>20</v>
      </c>
      <c r="D30" s="2" t="s">
        <v>13</v>
      </c>
      <c r="E30" s="2" t="s">
        <v>118</v>
      </c>
      <c r="F30" s="6" t="s">
        <v>119</v>
      </c>
      <c r="G30" s="2" t="s">
        <v>30</v>
      </c>
      <c r="H30" s="2" t="s">
        <v>110</v>
      </c>
      <c r="I30" s="2">
        <v>81</v>
      </c>
      <c r="J30" s="2" t="s">
        <v>111</v>
      </c>
      <c r="K30" s="2" t="s">
        <v>16</v>
      </c>
      <c r="L30" s="9">
        <v>242</v>
      </c>
      <c r="M30" s="11">
        <f t="shared" si="0"/>
        <v>58.08</v>
      </c>
      <c r="N30" s="9"/>
      <c r="O30" s="9"/>
      <c r="P30" s="9">
        <v>40.1</v>
      </c>
      <c r="Q30" s="9"/>
      <c r="R30" s="9"/>
      <c r="S30" s="9">
        <v>20</v>
      </c>
      <c r="T30" s="26">
        <v>27.5</v>
      </c>
      <c r="U30" s="8" t="s">
        <v>437</v>
      </c>
    </row>
    <row r="31" spans="1:21" x14ac:dyDescent="0.35">
      <c r="A31" s="5">
        <v>46265</v>
      </c>
      <c r="B31" s="2" t="s">
        <v>11</v>
      </c>
      <c r="C31" s="2" t="s">
        <v>55</v>
      </c>
      <c r="D31" s="12" t="s">
        <v>120</v>
      </c>
      <c r="E31" s="2" t="s">
        <v>121</v>
      </c>
      <c r="F31" s="4" t="s">
        <v>122</v>
      </c>
      <c r="G31" s="2" t="s">
        <v>30</v>
      </c>
      <c r="H31" s="2" t="s">
        <v>123</v>
      </c>
      <c r="I31" s="2">
        <v>16</v>
      </c>
      <c r="J31" s="2" t="s">
        <v>124</v>
      </c>
      <c r="K31" s="2" t="s">
        <v>16</v>
      </c>
      <c r="L31" s="26">
        <v>185</v>
      </c>
      <c r="M31" s="27">
        <f t="shared" si="0"/>
        <v>44.4</v>
      </c>
      <c r="N31" s="9"/>
      <c r="O31" s="9"/>
      <c r="P31" s="26">
        <v>20.72</v>
      </c>
      <c r="Q31" s="9"/>
      <c r="R31" s="9"/>
      <c r="S31" s="9">
        <v>100</v>
      </c>
      <c r="T31" s="9"/>
      <c r="U31" s="8" t="s">
        <v>438</v>
      </c>
    </row>
    <row r="32" spans="1:21" x14ac:dyDescent="0.35">
      <c r="A32" s="5">
        <v>46265</v>
      </c>
      <c r="B32" s="2" t="s">
        <v>11</v>
      </c>
      <c r="C32" s="2" t="s">
        <v>125</v>
      </c>
      <c r="D32" s="12" t="s">
        <v>120</v>
      </c>
      <c r="E32" s="2" t="s">
        <v>126</v>
      </c>
      <c r="F32" s="4" t="s">
        <v>127</v>
      </c>
      <c r="G32" s="2" t="s">
        <v>30</v>
      </c>
      <c r="H32" s="2" t="s">
        <v>123</v>
      </c>
      <c r="I32" s="2">
        <v>16</v>
      </c>
      <c r="J32" s="2" t="s">
        <v>124</v>
      </c>
      <c r="K32" s="2" t="s">
        <v>16</v>
      </c>
      <c r="L32" s="26">
        <v>185</v>
      </c>
      <c r="M32" s="27">
        <f t="shared" si="0"/>
        <v>44.4</v>
      </c>
      <c r="N32" s="9"/>
      <c r="O32" s="9"/>
      <c r="P32" s="26">
        <v>20.72</v>
      </c>
      <c r="Q32" s="9"/>
      <c r="R32" s="9"/>
      <c r="S32" s="9">
        <v>100</v>
      </c>
      <c r="T32" s="9"/>
      <c r="U32" s="8" t="s">
        <v>438</v>
      </c>
    </row>
    <row r="33" spans="1:21" x14ac:dyDescent="0.35">
      <c r="A33" s="5">
        <v>46265</v>
      </c>
      <c r="B33" s="2" t="s">
        <v>11</v>
      </c>
      <c r="C33" s="2" t="s">
        <v>128</v>
      </c>
      <c r="D33" s="2" t="s">
        <v>13</v>
      </c>
      <c r="E33" s="2" t="s">
        <v>129</v>
      </c>
      <c r="F33" s="6" t="s">
        <v>130</v>
      </c>
      <c r="G33" s="2" t="s">
        <v>30</v>
      </c>
      <c r="H33" s="2" t="s">
        <v>131</v>
      </c>
      <c r="I33" s="2">
        <v>141</v>
      </c>
      <c r="J33" s="2" t="s">
        <v>132</v>
      </c>
      <c r="K33" s="2" t="s">
        <v>16</v>
      </c>
      <c r="L33" s="9">
        <v>314.60000000000002</v>
      </c>
      <c r="M33" s="11">
        <f t="shared" si="0"/>
        <v>75.504000000000005</v>
      </c>
      <c r="N33" s="9"/>
      <c r="O33" s="9"/>
      <c r="P33" s="26">
        <v>72.23</v>
      </c>
      <c r="Q33" s="9"/>
      <c r="R33" s="9">
        <v>36.200000000000003</v>
      </c>
      <c r="S33" s="9">
        <v>20</v>
      </c>
      <c r="T33" s="9"/>
      <c r="U33" s="8" t="s">
        <v>437</v>
      </c>
    </row>
    <row r="34" spans="1:21" x14ac:dyDescent="0.35">
      <c r="A34" s="5">
        <v>46265</v>
      </c>
      <c r="B34" s="2" t="s">
        <v>11</v>
      </c>
      <c r="C34" s="2" t="s">
        <v>133</v>
      </c>
      <c r="D34" s="2" t="s">
        <v>13</v>
      </c>
      <c r="E34" s="2" t="s">
        <v>134</v>
      </c>
      <c r="F34" s="4" t="s">
        <v>135</v>
      </c>
      <c r="G34" s="2" t="s">
        <v>30</v>
      </c>
      <c r="H34" s="2" t="s">
        <v>136</v>
      </c>
      <c r="I34" s="2">
        <v>14</v>
      </c>
      <c r="J34" s="2" t="s">
        <v>137</v>
      </c>
      <c r="K34" s="2" t="s">
        <v>16</v>
      </c>
      <c r="L34" s="9">
        <v>155</v>
      </c>
      <c r="M34" s="11">
        <f t="shared" si="0"/>
        <v>37.199999999999996</v>
      </c>
      <c r="N34" s="9"/>
      <c r="O34" s="9"/>
      <c r="P34" s="9">
        <v>7.05</v>
      </c>
      <c r="Q34" s="9"/>
      <c r="R34" s="9"/>
      <c r="S34" s="9">
        <v>20</v>
      </c>
      <c r="T34" s="9"/>
      <c r="U34" s="8" t="s">
        <v>437</v>
      </c>
    </row>
    <row r="35" spans="1:21" x14ac:dyDescent="0.35">
      <c r="A35" s="5">
        <v>46265</v>
      </c>
      <c r="B35" s="2" t="s">
        <v>11</v>
      </c>
      <c r="C35" s="2" t="s">
        <v>128</v>
      </c>
      <c r="D35" s="2" t="s">
        <v>13</v>
      </c>
      <c r="E35" s="2" t="s">
        <v>138</v>
      </c>
      <c r="F35" s="6" t="s">
        <v>139</v>
      </c>
      <c r="G35" s="2" t="s">
        <v>30</v>
      </c>
      <c r="H35" s="2" t="s">
        <v>140</v>
      </c>
      <c r="I35" s="2">
        <v>209</v>
      </c>
      <c r="J35" s="2" t="s">
        <v>141</v>
      </c>
      <c r="K35" s="2" t="s">
        <v>16</v>
      </c>
      <c r="L35" s="26">
        <v>481.38</v>
      </c>
      <c r="M35" s="27">
        <f t="shared" si="0"/>
        <v>115.5312</v>
      </c>
      <c r="N35" s="9"/>
      <c r="O35" s="9"/>
      <c r="P35" s="26">
        <v>119</v>
      </c>
      <c r="Q35" s="9"/>
      <c r="R35" s="9">
        <v>36.200000000000003</v>
      </c>
      <c r="S35" s="9">
        <v>20</v>
      </c>
      <c r="T35" s="9"/>
      <c r="U35" s="8" t="s">
        <v>437</v>
      </c>
    </row>
    <row r="36" spans="1:21" x14ac:dyDescent="0.35">
      <c r="A36" s="5">
        <v>46265</v>
      </c>
      <c r="B36" s="2" t="s">
        <v>11</v>
      </c>
      <c r="C36" s="2"/>
      <c r="D36" s="2"/>
      <c r="E36" s="2" t="s">
        <v>449</v>
      </c>
      <c r="F36" s="6"/>
      <c r="G36" s="2"/>
      <c r="H36" s="2" t="s">
        <v>450</v>
      </c>
      <c r="I36" s="2"/>
      <c r="J36" s="2"/>
      <c r="K36" s="2"/>
      <c r="L36" s="9"/>
      <c r="M36" s="11">
        <f t="shared" si="0"/>
        <v>0</v>
      </c>
      <c r="N36" s="9"/>
      <c r="O36" s="9"/>
      <c r="P36" s="9"/>
      <c r="Q36" s="9"/>
      <c r="R36" s="9"/>
      <c r="S36" s="9"/>
      <c r="T36" s="9">
        <v>460.56</v>
      </c>
      <c r="U36" s="8" t="s">
        <v>452</v>
      </c>
    </row>
    <row r="37" spans="1:21" x14ac:dyDescent="0.35">
      <c r="A37" s="5">
        <v>46265</v>
      </c>
      <c r="B37" s="2" t="s">
        <v>11</v>
      </c>
      <c r="C37" s="2"/>
      <c r="D37" s="2"/>
      <c r="E37" s="2" t="s">
        <v>449</v>
      </c>
      <c r="F37" s="6"/>
      <c r="G37" s="2"/>
      <c r="H37" s="2" t="s">
        <v>450</v>
      </c>
      <c r="I37" s="2"/>
      <c r="J37" s="2"/>
      <c r="K37" s="2"/>
      <c r="L37" s="9"/>
      <c r="M37" s="11">
        <f t="shared" si="0"/>
        <v>0</v>
      </c>
      <c r="N37" s="9"/>
      <c r="O37" s="9"/>
      <c r="P37" s="9"/>
      <c r="Q37" s="9"/>
      <c r="R37" s="9"/>
      <c r="S37" s="9"/>
      <c r="T37" s="9">
        <v>165</v>
      </c>
      <c r="U37" s="8" t="s">
        <v>451</v>
      </c>
    </row>
    <row r="38" spans="1:21" x14ac:dyDescent="0.35">
      <c r="A38" s="5">
        <v>46266</v>
      </c>
      <c r="B38" s="2" t="s">
        <v>11</v>
      </c>
      <c r="C38" s="2" t="s">
        <v>128</v>
      </c>
      <c r="D38" s="2" t="s">
        <v>13</v>
      </c>
      <c r="E38" s="2" t="s">
        <v>142</v>
      </c>
      <c r="F38" s="6" t="s">
        <v>143</v>
      </c>
      <c r="G38" s="2" t="s">
        <v>30</v>
      </c>
      <c r="H38" s="2" t="s">
        <v>144</v>
      </c>
      <c r="I38" s="2">
        <v>26</v>
      </c>
      <c r="J38" s="2" t="s">
        <v>145</v>
      </c>
      <c r="K38" s="2" t="s">
        <v>16</v>
      </c>
      <c r="L38" s="9">
        <v>170</v>
      </c>
      <c r="M38" s="11">
        <f t="shared" si="0"/>
        <v>40.799999999999997</v>
      </c>
      <c r="N38" s="9"/>
      <c r="O38" s="9"/>
      <c r="P38" s="9">
        <v>15.68</v>
      </c>
      <c r="Q38" s="9"/>
      <c r="R38" s="9"/>
      <c r="S38" s="9">
        <v>20</v>
      </c>
      <c r="T38" s="9">
        <v>206.25</v>
      </c>
      <c r="U38" s="8" t="s">
        <v>448</v>
      </c>
    </row>
    <row r="39" spans="1:21" x14ac:dyDescent="0.35">
      <c r="A39" s="5">
        <v>46266</v>
      </c>
      <c r="B39" s="2" t="s">
        <v>11</v>
      </c>
      <c r="C39" s="2" t="s">
        <v>20</v>
      </c>
      <c r="D39" s="2" t="s">
        <v>13</v>
      </c>
      <c r="E39" s="2" t="s">
        <v>149</v>
      </c>
      <c r="F39" s="4" t="s">
        <v>150</v>
      </c>
      <c r="G39" s="2" t="s">
        <v>30</v>
      </c>
      <c r="H39" s="2" t="s">
        <v>46</v>
      </c>
      <c r="I39" s="2">
        <v>53</v>
      </c>
      <c r="J39" s="2" t="s">
        <v>47</v>
      </c>
      <c r="K39" s="2" t="s">
        <v>16</v>
      </c>
      <c r="L39" s="9">
        <v>210</v>
      </c>
      <c r="M39" s="11">
        <f t="shared" si="0"/>
        <v>50.4</v>
      </c>
      <c r="N39" s="9"/>
      <c r="O39" s="9"/>
      <c r="P39" s="26">
        <v>29.68</v>
      </c>
      <c r="Q39" s="9"/>
      <c r="R39" s="9">
        <v>36.200000000000003</v>
      </c>
      <c r="S39" s="9">
        <v>20</v>
      </c>
      <c r="T39" s="9">
        <v>27.5</v>
      </c>
      <c r="U39" s="8" t="s">
        <v>454</v>
      </c>
    </row>
    <row r="40" spans="1:21" x14ac:dyDescent="0.35">
      <c r="A40" s="5">
        <v>46266</v>
      </c>
      <c r="B40" s="2" t="s">
        <v>11</v>
      </c>
      <c r="C40" s="2" t="s">
        <v>48</v>
      </c>
      <c r="D40" s="2" t="s">
        <v>13</v>
      </c>
      <c r="E40" s="2" t="s">
        <v>151</v>
      </c>
      <c r="F40" s="4" t="s">
        <v>152</v>
      </c>
      <c r="G40" s="2" t="s">
        <v>30</v>
      </c>
      <c r="H40" s="2" t="s">
        <v>153</v>
      </c>
      <c r="I40" s="2">
        <v>181</v>
      </c>
      <c r="J40" s="2" t="s">
        <v>154</v>
      </c>
      <c r="K40" s="2" t="s">
        <v>16</v>
      </c>
      <c r="L40" s="18">
        <v>388.3</v>
      </c>
      <c r="M40" s="11">
        <f t="shared" si="0"/>
        <v>93.191999999999993</v>
      </c>
      <c r="N40" s="18"/>
      <c r="O40" s="18"/>
      <c r="P40" s="28">
        <v>72.23</v>
      </c>
      <c r="Q40" s="18"/>
      <c r="R40" s="18">
        <v>36.200000000000003</v>
      </c>
      <c r="S40" s="9">
        <v>20</v>
      </c>
      <c r="T40" s="9"/>
      <c r="U40" s="8" t="s">
        <v>437</v>
      </c>
    </row>
    <row r="41" spans="1:21" x14ac:dyDescent="0.35">
      <c r="A41" s="5">
        <v>46266</v>
      </c>
      <c r="B41" s="2" t="s">
        <v>11</v>
      </c>
      <c r="C41" s="2" t="s">
        <v>43</v>
      </c>
      <c r="D41" s="2" t="s">
        <v>13</v>
      </c>
      <c r="E41" s="2" t="s">
        <v>155</v>
      </c>
      <c r="F41" s="4" t="s">
        <v>156</v>
      </c>
      <c r="G41" s="2" t="s">
        <v>30</v>
      </c>
      <c r="H41" s="2" t="s">
        <v>153</v>
      </c>
      <c r="I41" s="2">
        <v>181</v>
      </c>
      <c r="J41" s="2" t="s">
        <v>154</v>
      </c>
      <c r="K41" s="2" t="s">
        <v>16</v>
      </c>
      <c r="L41" s="18">
        <v>388.3</v>
      </c>
      <c r="M41" s="11">
        <f t="shared" si="0"/>
        <v>93.191999999999993</v>
      </c>
      <c r="N41" s="18"/>
      <c r="O41" s="18"/>
      <c r="P41" s="28">
        <v>72.23</v>
      </c>
      <c r="Q41" s="18"/>
      <c r="R41" s="18">
        <v>36.200000000000003</v>
      </c>
      <c r="S41" s="9">
        <v>20</v>
      </c>
      <c r="T41" s="9"/>
      <c r="U41" s="8" t="s">
        <v>437</v>
      </c>
    </row>
    <row r="42" spans="1:21" x14ac:dyDescent="0.35">
      <c r="A42" s="5">
        <v>46266</v>
      </c>
      <c r="B42" s="2" t="s">
        <v>11</v>
      </c>
      <c r="C42" s="2" t="s">
        <v>55</v>
      </c>
      <c r="D42" s="2" t="s">
        <v>13</v>
      </c>
      <c r="E42" s="2" t="s">
        <v>157</v>
      </c>
      <c r="F42" s="6" t="s">
        <v>158</v>
      </c>
      <c r="G42" s="2" t="s">
        <v>30</v>
      </c>
      <c r="H42" s="2" t="s">
        <v>159</v>
      </c>
      <c r="I42" s="2">
        <v>58</v>
      </c>
      <c r="J42" s="2" t="s">
        <v>160</v>
      </c>
      <c r="K42" s="2" t="s">
        <v>16</v>
      </c>
      <c r="L42" s="9">
        <v>229</v>
      </c>
      <c r="M42" s="11">
        <f t="shared" si="0"/>
        <v>54.96</v>
      </c>
      <c r="N42" s="9"/>
      <c r="O42" s="9"/>
      <c r="P42" s="9">
        <v>31.36</v>
      </c>
      <c r="Q42" s="9"/>
      <c r="R42" s="9">
        <v>36.200000000000003</v>
      </c>
      <c r="S42" s="9">
        <v>20</v>
      </c>
      <c r="T42" s="9"/>
      <c r="U42" s="8" t="s">
        <v>437</v>
      </c>
    </row>
    <row r="43" spans="1:21" x14ac:dyDescent="0.35">
      <c r="A43" s="5">
        <v>46266</v>
      </c>
      <c r="B43" s="2" t="s">
        <v>11</v>
      </c>
      <c r="C43" s="2" t="s">
        <v>33</v>
      </c>
      <c r="D43" s="2" t="s">
        <v>13</v>
      </c>
      <c r="E43" s="2" t="s">
        <v>161</v>
      </c>
      <c r="F43" s="6" t="s">
        <v>162</v>
      </c>
      <c r="G43" s="2" t="s">
        <v>30</v>
      </c>
      <c r="H43" s="2" t="s">
        <v>36</v>
      </c>
      <c r="I43" s="2">
        <v>131</v>
      </c>
      <c r="J43" s="2" t="s">
        <v>37</v>
      </c>
      <c r="K43" s="2" t="s">
        <v>16</v>
      </c>
      <c r="L43" s="26">
        <v>299</v>
      </c>
      <c r="M43" s="27">
        <f t="shared" si="0"/>
        <v>71.759999999999991</v>
      </c>
      <c r="N43" s="9"/>
      <c r="O43" s="9"/>
      <c r="P43" s="26">
        <v>72.23</v>
      </c>
      <c r="Q43" s="9"/>
      <c r="R43" s="9">
        <v>36.200000000000003</v>
      </c>
      <c r="S43" s="9">
        <v>20</v>
      </c>
      <c r="T43" s="9"/>
      <c r="U43" s="8" t="s">
        <v>437</v>
      </c>
    </row>
    <row r="44" spans="1:21" x14ac:dyDescent="0.35">
      <c r="A44" s="5">
        <v>46266</v>
      </c>
      <c r="B44" s="2" t="s">
        <v>11</v>
      </c>
      <c r="C44" s="2" t="s">
        <v>164</v>
      </c>
      <c r="D44" s="2" t="s">
        <v>13</v>
      </c>
      <c r="E44" s="2" t="s">
        <v>165</v>
      </c>
      <c r="F44" s="6" t="s">
        <v>166</v>
      </c>
      <c r="G44" s="2" t="s">
        <v>30</v>
      </c>
      <c r="H44" s="2" t="s">
        <v>167</v>
      </c>
      <c r="I44" s="2">
        <v>132</v>
      </c>
      <c r="J44" s="2" t="s">
        <v>168</v>
      </c>
      <c r="K44" s="2" t="s">
        <v>16</v>
      </c>
      <c r="L44" s="26">
        <v>306</v>
      </c>
      <c r="M44" s="27">
        <f t="shared" si="0"/>
        <v>73.44</v>
      </c>
      <c r="N44" s="9"/>
      <c r="O44" s="9"/>
      <c r="P44" s="9">
        <v>60.56</v>
      </c>
      <c r="Q44" s="9"/>
      <c r="R44" s="9"/>
      <c r="S44" s="9">
        <v>20</v>
      </c>
      <c r="T44" s="9"/>
      <c r="U44" s="8" t="s">
        <v>437</v>
      </c>
    </row>
    <row r="45" spans="1:21" x14ac:dyDescent="0.35">
      <c r="A45" s="5">
        <v>46266</v>
      </c>
      <c r="B45" s="2" t="s">
        <v>11</v>
      </c>
      <c r="C45" s="2" t="s">
        <v>38</v>
      </c>
      <c r="D45" s="2" t="s">
        <v>13</v>
      </c>
      <c r="E45" s="2" t="s">
        <v>169</v>
      </c>
      <c r="F45" s="6" t="s">
        <v>170</v>
      </c>
      <c r="G45" s="2" t="s">
        <v>30</v>
      </c>
      <c r="H45" s="2" t="s">
        <v>167</v>
      </c>
      <c r="I45" s="2">
        <v>132</v>
      </c>
      <c r="J45" s="2" t="s">
        <v>168</v>
      </c>
      <c r="K45" s="2" t="s">
        <v>16</v>
      </c>
      <c r="L45" s="26">
        <v>306</v>
      </c>
      <c r="M45" s="27">
        <f t="shared" si="0"/>
        <v>73.44</v>
      </c>
      <c r="N45" s="9"/>
      <c r="O45" s="9"/>
      <c r="P45" s="9">
        <v>60.56</v>
      </c>
      <c r="Q45" s="9"/>
      <c r="R45" s="9"/>
      <c r="S45" s="9">
        <v>20</v>
      </c>
      <c r="T45" s="9"/>
      <c r="U45" s="8" t="s">
        <v>437</v>
      </c>
    </row>
    <row r="46" spans="1:21" x14ac:dyDescent="0.35">
      <c r="A46" s="5">
        <v>46266</v>
      </c>
      <c r="B46" s="2" t="s">
        <v>11</v>
      </c>
      <c r="C46" s="2" t="s">
        <v>55</v>
      </c>
      <c r="D46" s="12" t="s">
        <v>171</v>
      </c>
      <c r="E46" s="2" t="s">
        <v>172</v>
      </c>
      <c r="F46" s="4" t="s">
        <v>173</v>
      </c>
      <c r="G46" s="2" t="s">
        <v>30</v>
      </c>
      <c r="H46" s="2" t="s">
        <v>136</v>
      </c>
      <c r="I46" s="2">
        <v>14</v>
      </c>
      <c r="J46" s="2" t="s">
        <v>137</v>
      </c>
      <c r="K46" s="2" t="s">
        <v>16</v>
      </c>
      <c r="L46" s="9">
        <v>155</v>
      </c>
      <c r="M46" s="11">
        <f t="shared" si="0"/>
        <v>37.199999999999996</v>
      </c>
      <c r="N46" s="9"/>
      <c r="O46" s="9"/>
      <c r="P46" s="9">
        <v>7.05</v>
      </c>
      <c r="Q46" s="9"/>
      <c r="R46" s="9"/>
      <c r="S46" s="9">
        <v>100</v>
      </c>
      <c r="T46" s="9">
        <v>55</v>
      </c>
      <c r="U46" s="8" t="s">
        <v>462</v>
      </c>
    </row>
    <row r="47" spans="1:21" x14ac:dyDescent="0.35">
      <c r="A47" s="5">
        <v>46266</v>
      </c>
      <c r="B47" s="2" t="s">
        <v>11</v>
      </c>
      <c r="C47" s="2" t="s">
        <v>27</v>
      </c>
      <c r="D47" s="2" t="s">
        <v>13</v>
      </c>
      <c r="E47" s="2" t="s">
        <v>174</v>
      </c>
      <c r="F47" s="6" t="s">
        <v>175</v>
      </c>
      <c r="G47" s="2" t="s">
        <v>30</v>
      </c>
      <c r="H47" s="2" t="s">
        <v>101</v>
      </c>
      <c r="I47" s="2">
        <v>144</v>
      </c>
      <c r="J47" s="2" t="s">
        <v>102</v>
      </c>
      <c r="K47" s="2" t="s">
        <v>16</v>
      </c>
      <c r="L47" s="26">
        <v>334</v>
      </c>
      <c r="M47" s="27">
        <f t="shared" si="0"/>
        <v>80.16</v>
      </c>
      <c r="N47" s="9"/>
      <c r="O47" s="9"/>
      <c r="P47" s="26">
        <v>90.41</v>
      </c>
      <c r="Q47" s="9"/>
      <c r="R47" s="26">
        <v>36.200000000000003</v>
      </c>
      <c r="S47" s="9">
        <v>20</v>
      </c>
      <c r="T47" s="9"/>
      <c r="U47" s="8" t="s">
        <v>437</v>
      </c>
    </row>
    <row r="48" spans="1:21" x14ac:dyDescent="0.35">
      <c r="A48" s="5">
        <v>46266</v>
      </c>
      <c r="B48" s="2" t="s">
        <v>11</v>
      </c>
      <c r="C48" s="2" t="s">
        <v>27</v>
      </c>
      <c r="D48" s="2" t="s">
        <v>13</v>
      </c>
      <c r="E48" s="2" t="s">
        <v>176</v>
      </c>
      <c r="F48" s="4" t="s">
        <v>177</v>
      </c>
      <c r="G48" s="2" t="s">
        <v>30</v>
      </c>
      <c r="H48" s="2" t="s">
        <v>178</v>
      </c>
      <c r="I48" s="2">
        <v>219</v>
      </c>
      <c r="J48" s="2" t="s">
        <v>179</v>
      </c>
      <c r="K48" s="2" t="s">
        <v>16</v>
      </c>
      <c r="L48" s="9">
        <v>484</v>
      </c>
      <c r="M48" s="11">
        <f t="shared" si="0"/>
        <v>116.16</v>
      </c>
      <c r="N48" s="9"/>
      <c r="O48" s="9"/>
      <c r="P48" s="26">
        <v>92.96</v>
      </c>
      <c r="Q48" s="9"/>
      <c r="R48" s="9">
        <v>36.200000000000003</v>
      </c>
      <c r="S48" s="9">
        <v>20</v>
      </c>
      <c r="T48" s="9"/>
      <c r="U48" s="8" t="s">
        <v>437</v>
      </c>
    </row>
    <row r="49" spans="1:21" x14ac:dyDescent="0.35">
      <c r="A49" s="5">
        <v>46266</v>
      </c>
      <c r="B49" s="2" t="s">
        <v>11</v>
      </c>
      <c r="C49" s="2" t="s">
        <v>164</v>
      </c>
      <c r="D49" s="2" t="s">
        <v>13</v>
      </c>
      <c r="E49" s="2" t="s">
        <v>180</v>
      </c>
      <c r="F49" s="4" t="s">
        <v>181</v>
      </c>
      <c r="G49" s="2" t="s">
        <v>30</v>
      </c>
      <c r="H49" s="2" t="s">
        <v>182</v>
      </c>
      <c r="I49" s="2">
        <v>158</v>
      </c>
      <c r="J49" s="2" t="s">
        <v>183</v>
      </c>
      <c r="K49" s="2" t="s">
        <v>16</v>
      </c>
      <c r="L49" s="18">
        <v>316.8</v>
      </c>
      <c r="M49" s="11">
        <f t="shared" si="0"/>
        <v>76.031999999999996</v>
      </c>
      <c r="N49" s="18"/>
      <c r="O49" s="18"/>
      <c r="P49" s="28">
        <v>72.25</v>
      </c>
      <c r="Q49" s="18"/>
      <c r="R49" s="18">
        <v>18.100000000000001</v>
      </c>
      <c r="S49" s="9">
        <v>90</v>
      </c>
      <c r="T49" s="9">
        <v>27.5</v>
      </c>
      <c r="U49" s="8" t="s">
        <v>465</v>
      </c>
    </row>
    <row r="50" spans="1:21" x14ac:dyDescent="0.35">
      <c r="A50" s="5">
        <v>46266</v>
      </c>
      <c r="B50" s="2" t="s">
        <v>11</v>
      </c>
      <c r="C50" s="2" t="s">
        <v>164</v>
      </c>
      <c r="D50" s="2" t="s">
        <v>13</v>
      </c>
      <c r="E50" s="2" t="s">
        <v>184</v>
      </c>
      <c r="F50" s="4" t="s">
        <v>185</v>
      </c>
      <c r="G50" s="2" t="s">
        <v>30</v>
      </c>
      <c r="H50" s="2" t="s">
        <v>186</v>
      </c>
      <c r="I50" s="2">
        <v>159</v>
      </c>
      <c r="J50" s="2" t="s">
        <v>187</v>
      </c>
      <c r="K50" s="2" t="s">
        <v>16</v>
      </c>
      <c r="L50" s="9">
        <v>351</v>
      </c>
      <c r="M50" s="11">
        <f t="shared" si="0"/>
        <v>84.24</v>
      </c>
      <c r="N50" s="9"/>
      <c r="O50" s="9"/>
      <c r="P50" s="26">
        <v>86.8</v>
      </c>
      <c r="Q50" s="9"/>
      <c r="R50" s="9"/>
      <c r="S50" s="9">
        <v>20</v>
      </c>
      <c r="T50" s="9"/>
      <c r="U50" s="8" t="s">
        <v>437</v>
      </c>
    </row>
    <row r="51" spans="1:21" x14ac:dyDescent="0.35">
      <c r="A51" s="5">
        <v>46266</v>
      </c>
      <c r="B51" s="2" t="s">
        <v>11</v>
      </c>
      <c r="C51" s="2" t="s">
        <v>133</v>
      </c>
      <c r="D51" s="2" t="s">
        <v>13</v>
      </c>
      <c r="E51" s="2" t="s">
        <v>188</v>
      </c>
      <c r="F51" s="4" t="s">
        <v>189</v>
      </c>
      <c r="G51" s="2" t="s">
        <v>30</v>
      </c>
      <c r="H51" s="2" t="s">
        <v>147</v>
      </c>
      <c r="I51" s="2">
        <v>67</v>
      </c>
      <c r="J51" s="2" t="s">
        <v>148</v>
      </c>
      <c r="K51" s="2" t="s">
        <v>16</v>
      </c>
      <c r="L51" s="18">
        <v>229</v>
      </c>
      <c r="M51" s="11">
        <f t="shared" si="0"/>
        <v>54.96</v>
      </c>
      <c r="N51" s="18"/>
      <c r="O51" s="18"/>
      <c r="P51" s="28">
        <v>35.28</v>
      </c>
      <c r="Q51" s="18"/>
      <c r="R51" s="18">
        <v>36.200000000000003</v>
      </c>
      <c r="S51" s="9">
        <v>20</v>
      </c>
      <c r="T51" s="26">
        <v>41.25</v>
      </c>
      <c r="U51" s="29" t="s">
        <v>484</v>
      </c>
    </row>
    <row r="52" spans="1:21" x14ac:dyDescent="0.35">
      <c r="A52" s="5">
        <v>46266</v>
      </c>
      <c r="B52" s="2" t="s">
        <v>11</v>
      </c>
      <c r="C52" s="2" t="s">
        <v>133</v>
      </c>
      <c r="D52" s="2" t="s">
        <v>13</v>
      </c>
      <c r="E52" s="2" t="s">
        <v>190</v>
      </c>
      <c r="F52" s="4" t="s">
        <v>191</v>
      </c>
      <c r="G52" s="2" t="s">
        <v>30</v>
      </c>
      <c r="H52" s="2" t="s">
        <v>192</v>
      </c>
      <c r="I52" s="2">
        <v>137</v>
      </c>
      <c r="J52" s="2" t="s">
        <v>193</v>
      </c>
      <c r="K52" s="2" t="s">
        <v>16</v>
      </c>
      <c r="L52" s="26">
        <v>322</v>
      </c>
      <c r="M52" s="27">
        <f t="shared" si="0"/>
        <v>77.28</v>
      </c>
      <c r="N52" s="9"/>
      <c r="O52" s="9"/>
      <c r="P52" s="26">
        <v>78.400000000000006</v>
      </c>
      <c r="Q52" s="9"/>
      <c r="R52" s="9">
        <v>36.200000000000003</v>
      </c>
      <c r="S52" s="9">
        <v>20</v>
      </c>
      <c r="T52" s="9">
        <v>110</v>
      </c>
      <c r="U52" s="8" t="s">
        <v>467</v>
      </c>
    </row>
    <row r="53" spans="1:21" x14ac:dyDescent="0.35">
      <c r="A53" s="5">
        <v>46266</v>
      </c>
      <c r="B53" s="2" t="s">
        <v>11</v>
      </c>
      <c r="C53" s="2" t="s">
        <v>27</v>
      </c>
      <c r="D53" s="2" t="s">
        <v>13</v>
      </c>
      <c r="E53" s="2" t="s">
        <v>194</v>
      </c>
      <c r="F53" s="6" t="s">
        <v>195</v>
      </c>
      <c r="G53" s="2" t="s">
        <v>30</v>
      </c>
      <c r="H53" s="2" t="s">
        <v>159</v>
      </c>
      <c r="I53" s="2">
        <v>58</v>
      </c>
      <c r="J53" s="2" t="s">
        <v>160</v>
      </c>
      <c r="K53" s="2" t="s">
        <v>16</v>
      </c>
      <c r="L53" s="9">
        <v>229</v>
      </c>
      <c r="M53" s="11">
        <f t="shared" si="0"/>
        <v>54.96</v>
      </c>
      <c r="N53" s="9"/>
      <c r="O53" s="9"/>
      <c r="P53" s="9">
        <v>31.36</v>
      </c>
      <c r="Q53" s="9"/>
      <c r="R53" s="9">
        <v>36.200000000000003</v>
      </c>
      <c r="S53" s="9">
        <v>20</v>
      </c>
      <c r="T53" s="9">
        <v>27.5</v>
      </c>
      <c r="U53" s="8" t="s">
        <v>468</v>
      </c>
    </row>
    <row r="54" spans="1:21" x14ac:dyDescent="0.35">
      <c r="A54" s="5">
        <v>46266</v>
      </c>
      <c r="B54" s="2" t="s">
        <v>11</v>
      </c>
      <c r="C54" s="2" t="s">
        <v>164</v>
      </c>
      <c r="D54" s="2" t="s">
        <v>13</v>
      </c>
      <c r="E54" s="2" t="s">
        <v>199</v>
      </c>
      <c r="F54" s="6" t="s">
        <v>200</v>
      </c>
      <c r="G54" s="2" t="s">
        <v>30</v>
      </c>
      <c r="H54" s="2" t="s">
        <v>110</v>
      </c>
      <c r="I54" s="2">
        <v>75</v>
      </c>
      <c r="J54" s="2" t="s">
        <v>201</v>
      </c>
      <c r="K54" s="2" t="s">
        <v>16</v>
      </c>
      <c r="L54" s="9">
        <v>242</v>
      </c>
      <c r="M54" s="11">
        <f t="shared" si="0"/>
        <v>58.08</v>
      </c>
      <c r="N54" s="9"/>
      <c r="O54" s="9"/>
      <c r="P54" s="9">
        <v>40.1</v>
      </c>
      <c r="Q54" s="9"/>
      <c r="R54" s="9"/>
      <c r="S54" s="9">
        <v>20</v>
      </c>
      <c r="T54" s="9"/>
      <c r="U54" s="8" t="s">
        <v>437</v>
      </c>
    </row>
    <row r="55" spans="1:21" x14ac:dyDescent="0.35">
      <c r="A55" s="5">
        <v>46266</v>
      </c>
      <c r="B55" s="2" t="s">
        <v>11</v>
      </c>
      <c r="C55" s="2" t="s">
        <v>128</v>
      </c>
      <c r="D55" s="2" t="s">
        <v>202</v>
      </c>
      <c r="E55" s="2" t="s">
        <v>203</v>
      </c>
      <c r="F55" s="6" t="s">
        <v>204</v>
      </c>
      <c r="G55" s="2" t="s">
        <v>30</v>
      </c>
      <c r="H55" s="2" t="s">
        <v>205</v>
      </c>
      <c r="I55" s="2">
        <v>133</v>
      </c>
      <c r="J55" s="2" t="s">
        <v>206</v>
      </c>
      <c r="K55" s="2" t="s">
        <v>16</v>
      </c>
      <c r="L55" s="9">
        <v>306</v>
      </c>
      <c r="M55" s="11">
        <f t="shared" si="0"/>
        <v>73.44</v>
      </c>
      <c r="N55" s="9"/>
      <c r="O55" s="9"/>
      <c r="P55" s="26">
        <v>74.48</v>
      </c>
      <c r="Q55" s="9"/>
      <c r="R55" s="9"/>
      <c r="S55" s="9">
        <v>20</v>
      </c>
      <c r="T55" s="9"/>
      <c r="U55" s="8" t="s">
        <v>437</v>
      </c>
    </row>
    <row r="56" spans="1:21" x14ac:dyDescent="0.35">
      <c r="A56" s="5">
        <v>46266</v>
      </c>
      <c r="B56" s="2" t="s">
        <v>11</v>
      </c>
      <c r="C56" s="2" t="s">
        <v>164</v>
      </c>
      <c r="D56" s="2" t="s">
        <v>13</v>
      </c>
      <c r="E56" s="2" t="s">
        <v>207</v>
      </c>
      <c r="F56" s="4" t="s">
        <v>208</v>
      </c>
      <c r="G56" s="2" t="s">
        <v>30</v>
      </c>
      <c r="H56" s="2" t="s">
        <v>209</v>
      </c>
      <c r="I56" s="2">
        <v>11</v>
      </c>
      <c r="J56" s="2" t="s">
        <v>210</v>
      </c>
      <c r="K56" s="2" t="s">
        <v>16</v>
      </c>
      <c r="L56" s="18">
        <v>155</v>
      </c>
      <c r="M56" s="11">
        <f t="shared" si="0"/>
        <v>37.199999999999996</v>
      </c>
      <c r="N56" s="18"/>
      <c r="O56" s="18"/>
      <c r="P56" s="28">
        <v>4.54</v>
      </c>
      <c r="Q56" s="18"/>
      <c r="R56" s="18">
        <v>36.200000000000003</v>
      </c>
      <c r="S56" s="9">
        <v>20</v>
      </c>
      <c r="T56" s="9"/>
      <c r="U56" s="8" t="s">
        <v>437</v>
      </c>
    </row>
    <row r="57" spans="1:21" x14ac:dyDescent="0.35">
      <c r="A57" s="5">
        <v>46266</v>
      </c>
      <c r="B57" s="2" t="s">
        <v>11</v>
      </c>
      <c r="C57" s="2" t="s">
        <v>70</v>
      </c>
      <c r="D57" s="2" t="s">
        <v>13</v>
      </c>
      <c r="E57" s="2" t="s">
        <v>211</v>
      </c>
      <c r="F57" s="4" t="s">
        <v>212</v>
      </c>
      <c r="G57" s="2" t="s">
        <v>30</v>
      </c>
      <c r="H57" s="2" t="s">
        <v>213</v>
      </c>
      <c r="I57" s="2">
        <v>113</v>
      </c>
      <c r="J57" s="2" t="s">
        <v>214</v>
      </c>
      <c r="K57" s="2" t="s">
        <v>16</v>
      </c>
      <c r="L57" s="9">
        <v>255</v>
      </c>
      <c r="M57" s="11">
        <f t="shared" si="0"/>
        <v>61.199999999999996</v>
      </c>
      <c r="N57" s="9"/>
      <c r="O57" s="9"/>
      <c r="P57" s="26">
        <v>59.36</v>
      </c>
      <c r="Q57" s="9"/>
      <c r="R57" s="9"/>
      <c r="S57" s="9">
        <v>20</v>
      </c>
      <c r="T57" s="9"/>
      <c r="U57" s="8" t="s">
        <v>437</v>
      </c>
    </row>
    <row r="58" spans="1:21" x14ac:dyDescent="0.35">
      <c r="A58" s="5">
        <v>46266</v>
      </c>
      <c r="B58" s="2" t="s">
        <v>11</v>
      </c>
      <c r="C58" s="2"/>
      <c r="D58" s="2"/>
      <c r="E58" s="2" t="s">
        <v>444</v>
      </c>
      <c r="F58" s="4" t="s">
        <v>445</v>
      </c>
      <c r="G58" s="2"/>
      <c r="H58" s="2" t="s">
        <v>446</v>
      </c>
      <c r="I58" s="2"/>
      <c r="J58" s="2"/>
      <c r="K58" s="2"/>
      <c r="L58" s="9"/>
      <c r="M58" s="11">
        <f t="shared" si="0"/>
        <v>0</v>
      </c>
      <c r="N58" s="9"/>
      <c r="O58" s="9"/>
      <c r="P58" s="9"/>
      <c r="Q58" s="9"/>
      <c r="R58" s="9"/>
      <c r="S58" s="9"/>
      <c r="T58" s="9">
        <v>292.86</v>
      </c>
      <c r="U58" s="8" t="s">
        <v>447</v>
      </c>
    </row>
    <row r="59" spans="1:21" x14ac:dyDescent="0.35">
      <c r="A59" s="5">
        <v>46267</v>
      </c>
      <c r="B59" s="2" t="s">
        <v>11</v>
      </c>
      <c r="C59" s="2" t="s">
        <v>70</v>
      </c>
      <c r="D59" s="2" t="s">
        <v>13</v>
      </c>
      <c r="E59" s="2" t="s">
        <v>215</v>
      </c>
      <c r="F59" s="6" t="s">
        <v>216</v>
      </c>
      <c r="G59" s="2" t="s">
        <v>30</v>
      </c>
      <c r="H59" s="2" t="s">
        <v>110</v>
      </c>
      <c r="I59" s="2">
        <v>75</v>
      </c>
      <c r="J59" s="2" t="s">
        <v>201</v>
      </c>
      <c r="K59" s="2" t="s">
        <v>16</v>
      </c>
      <c r="L59" s="9">
        <v>242</v>
      </c>
      <c r="M59" s="11">
        <f t="shared" si="0"/>
        <v>58.08</v>
      </c>
      <c r="N59" s="9"/>
      <c r="O59" s="9"/>
      <c r="P59" s="9">
        <v>40.1</v>
      </c>
      <c r="Q59" s="9"/>
      <c r="R59" s="9"/>
      <c r="S59" s="26">
        <v>45</v>
      </c>
      <c r="T59" s="9">
        <v>82.5</v>
      </c>
      <c r="U59" s="29" t="s">
        <v>487</v>
      </c>
    </row>
    <row r="60" spans="1:21" x14ac:dyDescent="0.35">
      <c r="A60" s="5">
        <v>46267</v>
      </c>
      <c r="B60" s="2" t="s">
        <v>11</v>
      </c>
      <c r="C60" s="2" t="s">
        <v>53</v>
      </c>
      <c r="D60" s="2" t="s">
        <v>13</v>
      </c>
      <c r="E60" s="2" t="s">
        <v>217</v>
      </c>
      <c r="F60" s="6" t="s">
        <v>218</v>
      </c>
      <c r="G60" s="2" t="s">
        <v>30</v>
      </c>
      <c r="H60" s="2" t="s">
        <v>153</v>
      </c>
      <c r="I60" s="2">
        <v>181</v>
      </c>
      <c r="J60" s="2" t="s">
        <v>154</v>
      </c>
      <c r="K60" s="2" t="s">
        <v>16</v>
      </c>
      <c r="L60" s="18">
        <v>388.3</v>
      </c>
      <c r="M60" s="11">
        <f t="shared" si="0"/>
        <v>93.191999999999993</v>
      </c>
      <c r="N60" s="18"/>
      <c r="O60" s="18"/>
      <c r="P60" s="28">
        <v>72.23</v>
      </c>
      <c r="Q60" s="18"/>
      <c r="R60" s="18">
        <v>36.200000000000003</v>
      </c>
      <c r="S60" s="9">
        <v>20</v>
      </c>
      <c r="T60" s="9"/>
      <c r="U60" s="8" t="s">
        <v>437</v>
      </c>
    </row>
    <row r="61" spans="1:21" x14ac:dyDescent="0.35">
      <c r="A61" s="5">
        <v>46267</v>
      </c>
      <c r="B61" s="2" t="s">
        <v>11</v>
      </c>
      <c r="C61" s="2" t="s">
        <v>33</v>
      </c>
      <c r="D61" s="2" t="s">
        <v>13</v>
      </c>
      <c r="E61" s="2" t="s">
        <v>219</v>
      </c>
      <c r="F61" s="4" t="s">
        <v>220</v>
      </c>
      <c r="G61" s="2" t="s">
        <v>30</v>
      </c>
      <c r="H61" s="2" t="s">
        <v>36</v>
      </c>
      <c r="I61" s="2">
        <v>131</v>
      </c>
      <c r="J61" s="2" t="s">
        <v>37</v>
      </c>
      <c r="K61" s="2" t="s">
        <v>16</v>
      </c>
      <c r="L61" s="26">
        <v>299</v>
      </c>
      <c r="M61" s="27">
        <f t="shared" si="0"/>
        <v>71.759999999999991</v>
      </c>
      <c r="N61" s="9"/>
      <c r="O61" s="9"/>
      <c r="P61" s="26">
        <v>72.23</v>
      </c>
      <c r="Q61" s="9"/>
      <c r="R61" s="9">
        <v>36.200000000000003</v>
      </c>
      <c r="S61" s="9">
        <v>20</v>
      </c>
      <c r="T61" s="9">
        <v>82.5</v>
      </c>
      <c r="U61" s="8" t="s">
        <v>459</v>
      </c>
    </row>
    <row r="62" spans="1:21" x14ac:dyDescent="0.35">
      <c r="A62" s="5">
        <v>46267</v>
      </c>
      <c r="B62" s="2" t="s">
        <v>11</v>
      </c>
      <c r="C62" s="2" t="s">
        <v>27</v>
      </c>
      <c r="D62" s="2" t="s">
        <v>13</v>
      </c>
      <c r="E62" s="2" t="s">
        <v>221</v>
      </c>
      <c r="F62" s="4" t="s">
        <v>222</v>
      </c>
      <c r="G62" s="2" t="s">
        <v>30</v>
      </c>
      <c r="H62" s="2" t="s">
        <v>223</v>
      </c>
      <c r="I62" s="2">
        <v>70</v>
      </c>
      <c r="J62" s="2" t="s">
        <v>224</v>
      </c>
      <c r="K62" s="2" t="s">
        <v>16</v>
      </c>
      <c r="L62" s="28">
        <v>236</v>
      </c>
      <c r="M62" s="27">
        <f t="shared" si="0"/>
        <v>56.64</v>
      </c>
      <c r="N62" s="18"/>
      <c r="O62" s="18"/>
      <c r="P62" s="28">
        <v>39.76</v>
      </c>
      <c r="Q62" s="9"/>
      <c r="R62" s="9"/>
      <c r="S62" s="9">
        <v>20</v>
      </c>
      <c r="T62" s="26">
        <v>66.25</v>
      </c>
      <c r="U62" s="29" t="s">
        <v>488</v>
      </c>
    </row>
    <row r="63" spans="1:21" x14ac:dyDescent="0.35">
      <c r="A63" s="5">
        <v>46267</v>
      </c>
      <c r="B63" s="2" t="s">
        <v>11</v>
      </c>
      <c r="C63" s="2" t="s">
        <v>27</v>
      </c>
      <c r="D63" s="2" t="s">
        <v>13</v>
      </c>
      <c r="E63" s="2" t="s">
        <v>225</v>
      </c>
      <c r="F63" s="6" t="s">
        <v>226</v>
      </c>
      <c r="G63" s="2" t="s">
        <v>30</v>
      </c>
      <c r="H63" s="2" t="s">
        <v>101</v>
      </c>
      <c r="I63" s="2">
        <v>144</v>
      </c>
      <c r="J63" s="2" t="s">
        <v>102</v>
      </c>
      <c r="K63" s="2" t="s">
        <v>16</v>
      </c>
      <c r="L63" s="26">
        <v>334</v>
      </c>
      <c r="M63" s="27">
        <f t="shared" si="0"/>
        <v>80.16</v>
      </c>
      <c r="N63" s="9"/>
      <c r="O63" s="9"/>
      <c r="P63" s="26">
        <v>90.41</v>
      </c>
      <c r="Q63" s="9"/>
      <c r="R63" s="26">
        <v>36.200000000000003</v>
      </c>
      <c r="S63" s="9">
        <v>20</v>
      </c>
      <c r="T63" s="9"/>
      <c r="U63" s="8" t="s">
        <v>437</v>
      </c>
    </row>
    <row r="64" spans="1:21" x14ac:dyDescent="0.35">
      <c r="A64" s="5">
        <v>46267</v>
      </c>
      <c r="B64" s="2" t="s">
        <v>11</v>
      </c>
      <c r="C64" s="2" t="s">
        <v>27</v>
      </c>
      <c r="D64" s="2" t="s">
        <v>13</v>
      </c>
      <c r="E64" s="2" t="s">
        <v>227</v>
      </c>
      <c r="F64" s="4" t="s">
        <v>228</v>
      </c>
      <c r="G64" s="2" t="s">
        <v>30</v>
      </c>
      <c r="H64" s="2" t="s">
        <v>123</v>
      </c>
      <c r="I64" s="2">
        <v>16</v>
      </c>
      <c r="J64" s="2" t="s">
        <v>124</v>
      </c>
      <c r="K64" s="2" t="s">
        <v>16</v>
      </c>
      <c r="L64" s="9">
        <v>155</v>
      </c>
      <c r="M64" s="11">
        <f t="shared" si="0"/>
        <v>37.199999999999996</v>
      </c>
      <c r="N64" s="9"/>
      <c r="O64" s="9"/>
      <c r="P64" s="9">
        <v>5.98</v>
      </c>
      <c r="Q64" s="9"/>
      <c r="R64" s="9"/>
      <c r="S64" s="9">
        <v>20</v>
      </c>
      <c r="T64" s="9"/>
      <c r="U64" s="8" t="s">
        <v>437</v>
      </c>
    </row>
    <row r="65" spans="1:21" x14ac:dyDescent="0.35">
      <c r="A65" s="5">
        <v>46267</v>
      </c>
      <c r="B65" s="2" t="s">
        <v>11</v>
      </c>
      <c r="C65" s="2" t="s">
        <v>27</v>
      </c>
      <c r="D65" s="12" t="s">
        <v>60</v>
      </c>
      <c r="E65" s="2" t="s">
        <v>229</v>
      </c>
      <c r="F65" s="4" t="s">
        <v>230</v>
      </c>
      <c r="G65" s="2" t="s">
        <v>30</v>
      </c>
      <c r="H65" s="2" t="s">
        <v>231</v>
      </c>
      <c r="I65" s="2">
        <v>127</v>
      </c>
      <c r="J65" s="2" t="s">
        <v>232</v>
      </c>
      <c r="K65" s="2" t="s">
        <v>16</v>
      </c>
      <c r="L65" s="18">
        <v>280</v>
      </c>
      <c r="M65" s="11">
        <f t="shared" si="0"/>
        <v>67.2</v>
      </c>
      <c r="N65" s="18"/>
      <c r="O65" s="18"/>
      <c r="P65" s="18">
        <v>69.13</v>
      </c>
      <c r="Q65" s="9"/>
      <c r="R65" s="9"/>
      <c r="S65" s="9">
        <v>100</v>
      </c>
      <c r="T65" s="9"/>
      <c r="U65" s="8" t="s">
        <v>438</v>
      </c>
    </row>
    <row r="66" spans="1:21" x14ac:dyDescent="0.35">
      <c r="A66" s="5">
        <v>46267</v>
      </c>
      <c r="B66" s="2" t="s">
        <v>11</v>
      </c>
      <c r="C66" s="2" t="s">
        <v>65</v>
      </c>
      <c r="D66" s="2" t="s">
        <v>13</v>
      </c>
      <c r="E66" s="2" t="s">
        <v>233</v>
      </c>
      <c r="F66" s="6" t="s">
        <v>234</v>
      </c>
      <c r="G66" s="2" t="s">
        <v>30</v>
      </c>
      <c r="H66" s="2" t="s">
        <v>235</v>
      </c>
      <c r="I66" s="2">
        <v>107</v>
      </c>
      <c r="J66" s="2" t="s">
        <v>236</v>
      </c>
      <c r="K66" s="2" t="s">
        <v>16</v>
      </c>
      <c r="L66" s="9">
        <v>251</v>
      </c>
      <c r="M66" s="11">
        <f t="shared" si="0"/>
        <v>60.239999999999995</v>
      </c>
      <c r="N66" s="9"/>
      <c r="O66" s="9"/>
      <c r="P66" s="26">
        <v>61.48</v>
      </c>
      <c r="Q66" s="9"/>
      <c r="R66" s="26">
        <v>36.200000000000003</v>
      </c>
      <c r="S66" s="9">
        <v>20</v>
      </c>
      <c r="T66" s="9"/>
      <c r="U66" s="8" t="s">
        <v>437</v>
      </c>
    </row>
    <row r="67" spans="1:21" x14ac:dyDescent="0.35">
      <c r="A67" s="5">
        <v>46267</v>
      </c>
      <c r="B67" s="2" t="s">
        <v>11</v>
      </c>
      <c r="C67" s="2" t="s">
        <v>133</v>
      </c>
      <c r="D67" s="2" t="s">
        <v>13</v>
      </c>
      <c r="E67" s="2" t="s">
        <v>237</v>
      </c>
      <c r="F67" s="4" t="s">
        <v>238</v>
      </c>
      <c r="G67" s="2" t="s">
        <v>30</v>
      </c>
      <c r="H67" s="2" t="s">
        <v>239</v>
      </c>
      <c r="I67" s="2">
        <v>49</v>
      </c>
      <c r="J67" s="2" t="s">
        <v>240</v>
      </c>
      <c r="K67" s="2" t="s">
        <v>16</v>
      </c>
      <c r="L67" s="9">
        <v>229</v>
      </c>
      <c r="M67" s="11">
        <f t="shared" ref="M67:M130" si="1">24%*L67</f>
        <v>54.96</v>
      </c>
      <c r="N67" s="9"/>
      <c r="O67" s="9"/>
      <c r="P67" s="9">
        <v>32.19</v>
      </c>
      <c r="Q67" s="9"/>
      <c r="R67" s="9">
        <v>36.200000000000003</v>
      </c>
      <c r="S67" s="9">
        <v>20</v>
      </c>
      <c r="T67" s="26">
        <v>55</v>
      </c>
      <c r="U67" s="29" t="s">
        <v>489</v>
      </c>
    </row>
    <row r="68" spans="1:21" x14ac:dyDescent="0.35">
      <c r="A68" s="5">
        <v>46267</v>
      </c>
      <c r="B68" s="2" t="s">
        <v>11</v>
      </c>
      <c r="C68" s="2" t="s">
        <v>55</v>
      </c>
      <c r="D68" s="2" t="s">
        <v>13</v>
      </c>
      <c r="E68" s="2" t="s">
        <v>241</v>
      </c>
      <c r="F68" s="6" t="s">
        <v>242</v>
      </c>
      <c r="G68" s="2" t="s">
        <v>30</v>
      </c>
      <c r="H68" s="2" t="s">
        <v>243</v>
      </c>
      <c r="I68" s="2">
        <v>23</v>
      </c>
      <c r="J68" s="2" t="s">
        <v>244</v>
      </c>
      <c r="K68" s="2" t="s">
        <v>16</v>
      </c>
      <c r="L68" s="9">
        <v>170</v>
      </c>
      <c r="M68" s="11">
        <f t="shared" si="1"/>
        <v>40.799999999999997</v>
      </c>
      <c r="N68" s="9"/>
      <c r="O68" s="9"/>
      <c r="P68" s="9">
        <v>9.69</v>
      </c>
      <c r="Q68" s="9"/>
      <c r="R68" s="9">
        <v>36.200000000000003</v>
      </c>
      <c r="S68" s="9">
        <v>20</v>
      </c>
      <c r="T68" s="9"/>
      <c r="U68" s="8" t="s">
        <v>437</v>
      </c>
    </row>
    <row r="69" spans="1:21" x14ac:dyDescent="0.35">
      <c r="A69" s="5">
        <v>46267</v>
      </c>
      <c r="B69" s="2" t="s">
        <v>11</v>
      </c>
      <c r="C69" s="2" t="s">
        <v>164</v>
      </c>
      <c r="D69" s="2" t="s">
        <v>13</v>
      </c>
      <c r="E69" s="2" t="s">
        <v>245</v>
      </c>
      <c r="F69" s="4" t="s">
        <v>246</v>
      </c>
      <c r="G69" s="2" t="s">
        <v>30</v>
      </c>
      <c r="H69" s="2" t="s">
        <v>209</v>
      </c>
      <c r="I69" s="2">
        <v>11</v>
      </c>
      <c r="J69" s="2" t="s">
        <v>210</v>
      </c>
      <c r="K69" s="2" t="s">
        <v>16</v>
      </c>
      <c r="L69" s="18">
        <v>155</v>
      </c>
      <c r="M69" s="11">
        <f t="shared" si="1"/>
        <v>37.199999999999996</v>
      </c>
      <c r="N69" s="18"/>
      <c r="O69" s="18"/>
      <c r="P69" s="28">
        <v>4.54</v>
      </c>
      <c r="Q69" s="18"/>
      <c r="R69" s="18">
        <v>36.200000000000003</v>
      </c>
      <c r="S69" s="9">
        <v>20</v>
      </c>
      <c r="T69" s="9">
        <v>41.25</v>
      </c>
      <c r="U69" s="8" t="s">
        <v>469</v>
      </c>
    </row>
    <row r="70" spans="1:21" x14ac:dyDescent="0.35">
      <c r="A70" s="5">
        <v>46267</v>
      </c>
      <c r="B70" s="2" t="s">
        <v>11</v>
      </c>
      <c r="C70" s="2" t="s">
        <v>27</v>
      </c>
      <c r="D70" s="2" t="s">
        <v>13</v>
      </c>
      <c r="E70" s="2" t="s">
        <v>247</v>
      </c>
      <c r="F70" s="6" t="s">
        <v>248</v>
      </c>
      <c r="G70" s="2" t="s">
        <v>30</v>
      </c>
      <c r="H70" s="2" t="s">
        <v>205</v>
      </c>
      <c r="I70" s="2">
        <v>133</v>
      </c>
      <c r="J70" s="2" t="s">
        <v>206</v>
      </c>
      <c r="K70" s="2" t="s">
        <v>16</v>
      </c>
      <c r="L70" s="9">
        <v>306</v>
      </c>
      <c r="M70" s="11">
        <f t="shared" si="1"/>
        <v>73.44</v>
      </c>
      <c r="N70" s="9"/>
      <c r="O70" s="9"/>
      <c r="P70" s="26">
        <v>74.48</v>
      </c>
      <c r="Q70" s="9"/>
      <c r="R70" s="9"/>
      <c r="S70" s="9">
        <v>20</v>
      </c>
      <c r="T70" s="9"/>
      <c r="U70" s="8" t="s">
        <v>437</v>
      </c>
    </row>
    <row r="71" spans="1:21" x14ac:dyDescent="0.35">
      <c r="A71" s="5">
        <v>46267</v>
      </c>
      <c r="B71" s="2" t="s">
        <v>11</v>
      </c>
      <c r="C71" s="2" t="s">
        <v>27</v>
      </c>
      <c r="D71" s="2" t="s">
        <v>13</v>
      </c>
      <c r="E71" s="2" t="s">
        <v>249</v>
      </c>
      <c r="F71" s="4" t="s">
        <v>250</v>
      </c>
      <c r="G71" s="2" t="s">
        <v>30</v>
      </c>
      <c r="H71" s="2" t="s">
        <v>251</v>
      </c>
      <c r="I71" s="2">
        <v>47</v>
      </c>
      <c r="J71" s="2" t="s">
        <v>252</v>
      </c>
      <c r="K71" s="2" t="s">
        <v>16</v>
      </c>
      <c r="L71" s="9">
        <v>205</v>
      </c>
      <c r="M71" s="11">
        <f t="shared" si="1"/>
        <v>49.199999999999996</v>
      </c>
      <c r="N71" s="9"/>
      <c r="O71" s="9"/>
      <c r="P71" s="9">
        <v>20.65</v>
      </c>
      <c r="Q71" s="9"/>
      <c r="R71" s="9"/>
      <c r="S71" s="9">
        <v>20</v>
      </c>
      <c r="T71" s="9"/>
      <c r="U71" s="8" t="s">
        <v>437</v>
      </c>
    </row>
    <row r="72" spans="1:21" x14ac:dyDescent="0.35">
      <c r="A72" s="5">
        <v>46267</v>
      </c>
      <c r="B72" s="2" t="s">
        <v>11</v>
      </c>
      <c r="C72" s="2" t="s">
        <v>27</v>
      </c>
      <c r="D72" s="2" t="s">
        <v>13</v>
      </c>
      <c r="E72" s="2" t="s">
        <v>253</v>
      </c>
      <c r="F72" s="4" t="s">
        <v>254</v>
      </c>
      <c r="G72" s="2" t="s">
        <v>30</v>
      </c>
      <c r="H72" s="2" t="s">
        <v>255</v>
      </c>
      <c r="I72" s="2">
        <v>53</v>
      </c>
      <c r="J72" s="2" t="s">
        <v>256</v>
      </c>
      <c r="K72" s="2" t="s">
        <v>16</v>
      </c>
      <c r="L72" s="18">
        <v>210</v>
      </c>
      <c r="M72" s="11">
        <f t="shared" si="1"/>
        <v>50.4</v>
      </c>
      <c r="N72" s="18"/>
      <c r="O72" s="18"/>
      <c r="P72" s="28">
        <v>30.24</v>
      </c>
      <c r="Q72" s="9"/>
      <c r="R72" s="9"/>
      <c r="S72" s="9">
        <v>20</v>
      </c>
      <c r="T72" s="9">
        <v>82.5</v>
      </c>
      <c r="U72" s="8" t="s">
        <v>475</v>
      </c>
    </row>
    <row r="73" spans="1:21" x14ac:dyDescent="0.35">
      <c r="A73" s="5">
        <v>46267</v>
      </c>
      <c r="B73" s="2" t="s">
        <v>11</v>
      </c>
      <c r="C73" s="2" t="s">
        <v>128</v>
      </c>
      <c r="D73" s="2" t="s">
        <v>13</v>
      </c>
      <c r="E73" s="2" t="s">
        <v>257</v>
      </c>
      <c r="F73" s="4" t="s">
        <v>258</v>
      </c>
      <c r="G73" s="2" t="s">
        <v>30</v>
      </c>
      <c r="H73" s="2" t="s">
        <v>255</v>
      </c>
      <c r="I73" s="2">
        <v>53</v>
      </c>
      <c r="J73" s="2" t="s">
        <v>256</v>
      </c>
      <c r="K73" s="2" t="s">
        <v>16</v>
      </c>
      <c r="L73" s="18">
        <v>210</v>
      </c>
      <c r="M73" s="11">
        <f t="shared" si="1"/>
        <v>50.4</v>
      </c>
      <c r="N73" s="18"/>
      <c r="O73" s="18"/>
      <c r="P73" s="28">
        <v>30.24</v>
      </c>
      <c r="Q73" s="9"/>
      <c r="R73" s="9"/>
      <c r="S73" s="9">
        <v>20</v>
      </c>
      <c r="T73" s="9">
        <v>55</v>
      </c>
      <c r="U73" s="8" t="s">
        <v>476</v>
      </c>
    </row>
    <row r="74" spans="1:21" x14ac:dyDescent="0.35">
      <c r="A74" s="5">
        <v>46267</v>
      </c>
      <c r="B74" s="2" t="s">
        <v>11</v>
      </c>
      <c r="C74" s="2" t="s">
        <v>33</v>
      </c>
      <c r="D74" s="12" t="s">
        <v>120</v>
      </c>
      <c r="E74" s="2" t="s">
        <v>259</v>
      </c>
      <c r="F74" s="4" t="s">
        <v>260</v>
      </c>
      <c r="G74" s="2" t="s">
        <v>30</v>
      </c>
      <c r="H74" s="2" t="s">
        <v>136</v>
      </c>
      <c r="I74" s="2">
        <v>25</v>
      </c>
      <c r="J74" s="2" t="s">
        <v>261</v>
      </c>
      <c r="K74" s="2" t="s">
        <v>16</v>
      </c>
      <c r="L74" s="18">
        <v>170</v>
      </c>
      <c r="M74" s="11">
        <f t="shared" si="1"/>
        <v>40.799999999999997</v>
      </c>
      <c r="N74" s="18"/>
      <c r="O74" s="18"/>
      <c r="P74" s="18">
        <v>10.58</v>
      </c>
      <c r="Q74" s="9"/>
      <c r="R74" s="9"/>
      <c r="S74" s="9">
        <v>100</v>
      </c>
      <c r="T74" s="26">
        <v>123.75</v>
      </c>
      <c r="U74" s="29" t="s">
        <v>491</v>
      </c>
    </row>
    <row r="75" spans="1:21" x14ac:dyDescent="0.35">
      <c r="A75" s="5">
        <v>46267</v>
      </c>
      <c r="B75" s="2" t="s">
        <v>11</v>
      </c>
      <c r="C75" s="2" t="s">
        <v>133</v>
      </c>
      <c r="D75" s="2" t="s">
        <v>13</v>
      </c>
      <c r="E75" s="2" t="s">
        <v>262</v>
      </c>
      <c r="F75" s="4" t="s">
        <v>263</v>
      </c>
      <c r="G75" s="2" t="s">
        <v>30</v>
      </c>
      <c r="H75" s="2" t="s">
        <v>197</v>
      </c>
      <c r="I75" s="2">
        <v>105</v>
      </c>
      <c r="J75" s="2" t="s">
        <v>198</v>
      </c>
      <c r="K75" s="2" t="s">
        <v>16</v>
      </c>
      <c r="L75" s="9">
        <v>251</v>
      </c>
      <c r="M75" s="11">
        <f t="shared" si="1"/>
        <v>60.239999999999995</v>
      </c>
      <c r="N75" s="9"/>
      <c r="O75" s="9"/>
      <c r="P75" s="9">
        <v>56.33</v>
      </c>
      <c r="Q75" s="9"/>
      <c r="R75" s="9">
        <v>36.200000000000003</v>
      </c>
      <c r="S75" s="9">
        <v>20</v>
      </c>
      <c r="T75" s="26">
        <v>55</v>
      </c>
      <c r="U75" s="29" t="s">
        <v>490</v>
      </c>
    </row>
    <row r="76" spans="1:21" x14ac:dyDescent="0.35">
      <c r="A76" s="5">
        <v>46267</v>
      </c>
      <c r="B76" s="2" t="s">
        <v>11</v>
      </c>
      <c r="C76" s="2" t="s">
        <v>264</v>
      </c>
      <c r="D76" s="2" t="s">
        <v>13</v>
      </c>
      <c r="E76" s="2" t="s">
        <v>265</v>
      </c>
      <c r="F76" s="6" t="s">
        <v>266</v>
      </c>
      <c r="G76" s="2" t="s">
        <v>30</v>
      </c>
      <c r="H76" s="2" t="s">
        <v>251</v>
      </c>
      <c r="I76" s="2">
        <v>47</v>
      </c>
      <c r="J76" s="2" t="s">
        <v>252</v>
      </c>
      <c r="K76" s="2" t="s">
        <v>16</v>
      </c>
      <c r="L76" s="9">
        <v>205</v>
      </c>
      <c r="M76" s="11">
        <f t="shared" si="1"/>
        <v>49.199999999999996</v>
      </c>
      <c r="N76" s="9"/>
      <c r="O76" s="9"/>
      <c r="P76" s="9">
        <v>20.65</v>
      </c>
      <c r="Q76" s="9"/>
      <c r="R76" s="9"/>
      <c r="S76" s="9">
        <v>20</v>
      </c>
      <c r="T76" s="9"/>
      <c r="U76" s="8" t="s">
        <v>437</v>
      </c>
    </row>
    <row r="77" spans="1:21" x14ac:dyDescent="0.35">
      <c r="A77" s="5">
        <v>46267</v>
      </c>
      <c r="B77" s="2" t="s">
        <v>11</v>
      </c>
      <c r="C77" s="2" t="s">
        <v>65</v>
      </c>
      <c r="D77" s="2" t="s">
        <v>13</v>
      </c>
      <c r="E77" s="2" t="s">
        <v>267</v>
      </c>
      <c r="F77" s="6" t="s">
        <v>268</v>
      </c>
      <c r="G77" s="2" t="s">
        <v>30</v>
      </c>
      <c r="H77" s="2" t="s">
        <v>269</v>
      </c>
      <c r="I77" s="2">
        <v>143</v>
      </c>
      <c r="J77" s="2" t="s">
        <v>270</v>
      </c>
      <c r="K77" s="2" t="s">
        <v>16</v>
      </c>
      <c r="L77" s="9">
        <v>334</v>
      </c>
      <c r="M77" s="11">
        <f t="shared" si="1"/>
        <v>80.16</v>
      </c>
      <c r="N77" s="9"/>
      <c r="O77" s="9"/>
      <c r="P77" s="26">
        <v>84.9</v>
      </c>
      <c r="Q77" s="9"/>
      <c r="R77" s="9"/>
      <c r="S77" s="9">
        <v>20</v>
      </c>
      <c r="T77" s="9"/>
      <c r="U77" s="8" t="s">
        <v>437</v>
      </c>
    </row>
    <row r="78" spans="1:21" x14ac:dyDescent="0.35">
      <c r="A78" s="5">
        <v>46267</v>
      </c>
      <c r="B78" s="2" t="s">
        <v>11</v>
      </c>
      <c r="C78" s="2" t="s">
        <v>133</v>
      </c>
      <c r="D78" s="2" t="s">
        <v>13</v>
      </c>
      <c r="E78" s="2" t="s">
        <v>271</v>
      </c>
      <c r="F78" s="4" t="s">
        <v>272</v>
      </c>
      <c r="G78" s="2" t="s">
        <v>30</v>
      </c>
      <c r="H78" s="2" t="s">
        <v>167</v>
      </c>
      <c r="I78" s="2">
        <v>132</v>
      </c>
      <c r="J78" s="2" t="s">
        <v>168</v>
      </c>
      <c r="K78" s="2" t="s">
        <v>16</v>
      </c>
      <c r="L78" s="9">
        <v>299</v>
      </c>
      <c r="M78" s="11">
        <f t="shared" si="1"/>
        <v>71.759999999999991</v>
      </c>
      <c r="N78" s="9"/>
      <c r="O78" s="9"/>
      <c r="P78" s="9">
        <v>60.56</v>
      </c>
      <c r="Q78" s="9"/>
      <c r="R78" s="9"/>
      <c r="S78" s="9">
        <v>20</v>
      </c>
      <c r="T78" s="9"/>
      <c r="U78" s="8" t="s">
        <v>437</v>
      </c>
    </row>
    <row r="79" spans="1:21" x14ac:dyDescent="0.35">
      <c r="A79" s="5">
        <v>46267</v>
      </c>
      <c r="B79" s="2" t="s">
        <v>11</v>
      </c>
      <c r="C79" s="2" t="s">
        <v>27</v>
      </c>
      <c r="D79" s="2" t="s">
        <v>13</v>
      </c>
      <c r="E79" s="2" t="s">
        <v>273</v>
      </c>
      <c r="F79" s="6" t="s">
        <v>274</v>
      </c>
      <c r="G79" s="2" t="s">
        <v>30</v>
      </c>
      <c r="H79" s="2" t="s">
        <v>275</v>
      </c>
      <c r="I79" s="2">
        <v>51</v>
      </c>
      <c r="J79" s="2" t="s">
        <v>276</v>
      </c>
      <c r="K79" s="2" t="s">
        <v>16</v>
      </c>
      <c r="L79" s="9">
        <v>210</v>
      </c>
      <c r="M79" s="11">
        <f t="shared" si="1"/>
        <v>50.4</v>
      </c>
      <c r="N79" s="9"/>
      <c r="O79" s="9"/>
      <c r="P79" s="26">
        <v>30.8</v>
      </c>
      <c r="Q79" s="9"/>
      <c r="R79" s="9"/>
      <c r="S79" s="9">
        <v>20</v>
      </c>
      <c r="T79" s="9"/>
      <c r="U79" s="8" t="s">
        <v>437</v>
      </c>
    </row>
    <row r="80" spans="1:21" x14ac:dyDescent="0.35">
      <c r="A80" s="5">
        <v>46267</v>
      </c>
      <c r="B80" s="2" t="s">
        <v>11</v>
      </c>
      <c r="C80" s="2" t="s">
        <v>27</v>
      </c>
      <c r="D80" s="12" t="s">
        <v>171</v>
      </c>
      <c r="E80" s="2" t="s">
        <v>277</v>
      </c>
      <c r="F80" s="4" t="s">
        <v>278</v>
      </c>
      <c r="G80" s="2" t="s">
        <v>30</v>
      </c>
      <c r="H80" s="2" t="s">
        <v>279</v>
      </c>
      <c r="I80" s="2">
        <v>105</v>
      </c>
      <c r="J80" s="2" t="s">
        <v>280</v>
      </c>
      <c r="K80" s="2" t="s">
        <v>16</v>
      </c>
      <c r="L80" s="9">
        <v>251</v>
      </c>
      <c r="M80" s="11">
        <f t="shared" si="1"/>
        <v>60.239999999999995</v>
      </c>
      <c r="N80" s="9"/>
      <c r="O80" s="9"/>
      <c r="P80" s="26">
        <v>58.8</v>
      </c>
      <c r="Q80" s="9"/>
      <c r="R80" s="9"/>
      <c r="S80" s="9">
        <v>100</v>
      </c>
      <c r="T80" s="9"/>
      <c r="U80" s="8" t="s">
        <v>438</v>
      </c>
    </row>
    <row r="81" spans="1:21" x14ac:dyDescent="0.35">
      <c r="A81" s="5">
        <v>46267</v>
      </c>
      <c r="B81" s="2" t="s">
        <v>11</v>
      </c>
      <c r="C81" s="2" t="s">
        <v>70</v>
      </c>
      <c r="D81" s="2" t="s">
        <v>13</v>
      </c>
      <c r="E81" s="2" t="s">
        <v>281</v>
      </c>
      <c r="F81" s="6" t="s">
        <v>282</v>
      </c>
      <c r="G81" s="2" t="s">
        <v>30</v>
      </c>
      <c r="H81" s="2" t="s">
        <v>235</v>
      </c>
      <c r="I81" s="2">
        <v>107</v>
      </c>
      <c r="J81" s="2" t="s">
        <v>236</v>
      </c>
      <c r="K81" s="2" t="s">
        <v>16</v>
      </c>
      <c r="L81" s="9">
        <v>251</v>
      </c>
      <c r="M81" s="11">
        <f t="shared" si="1"/>
        <v>60.239999999999995</v>
      </c>
      <c r="N81" s="9"/>
      <c r="O81" s="9"/>
      <c r="P81" s="26">
        <v>61.48</v>
      </c>
      <c r="Q81" s="9"/>
      <c r="R81" s="26">
        <v>36.200000000000003</v>
      </c>
      <c r="S81" s="9">
        <v>20</v>
      </c>
      <c r="T81" s="26">
        <v>52.5</v>
      </c>
      <c r="U81" s="29" t="s">
        <v>492</v>
      </c>
    </row>
    <row r="82" spans="1:21" x14ac:dyDescent="0.35">
      <c r="A82" s="5">
        <v>46267</v>
      </c>
      <c r="B82" s="2" t="s">
        <v>11</v>
      </c>
      <c r="C82" s="2" t="s">
        <v>53</v>
      </c>
      <c r="D82" s="2" t="s">
        <v>13</v>
      </c>
      <c r="E82" s="2" t="s">
        <v>283</v>
      </c>
      <c r="F82" s="4" t="s">
        <v>284</v>
      </c>
      <c r="G82" s="2" t="s">
        <v>30</v>
      </c>
      <c r="H82" s="2" t="s">
        <v>285</v>
      </c>
      <c r="I82" s="2">
        <v>58</v>
      </c>
      <c r="J82" s="2" t="s">
        <v>286</v>
      </c>
      <c r="K82" s="2" t="s">
        <v>16</v>
      </c>
      <c r="L82" s="26">
        <v>289.10000000000002</v>
      </c>
      <c r="M82" s="27">
        <f t="shared" si="1"/>
        <v>69.384</v>
      </c>
      <c r="N82" s="9"/>
      <c r="O82" s="9"/>
      <c r="P82" s="26">
        <v>50.96</v>
      </c>
      <c r="Q82" s="9"/>
      <c r="R82" s="26">
        <v>18.100000000000001</v>
      </c>
      <c r="S82" s="9">
        <v>20</v>
      </c>
      <c r="T82" s="9">
        <v>27.5</v>
      </c>
      <c r="U82" s="29" t="s">
        <v>493</v>
      </c>
    </row>
    <row r="83" spans="1:21" x14ac:dyDescent="0.35">
      <c r="A83" s="5">
        <v>46267</v>
      </c>
      <c r="B83" s="2" t="s">
        <v>11</v>
      </c>
      <c r="C83" s="2"/>
      <c r="D83" s="2"/>
      <c r="E83" s="2" t="s">
        <v>470</v>
      </c>
      <c r="F83" s="4" t="s">
        <v>471</v>
      </c>
      <c r="G83" s="2"/>
      <c r="H83" s="2" t="s">
        <v>450</v>
      </c>
      <c r="I83" s="2"/>
      <c r="J83" s="2"/>
      <c r="K83" s="2"/>
      <c r="L83" s="9"/>
      <c r="M83" s="11">
        <f t="shared" si="1"/>
        <v>0</v>
      </c>
      <c r="N83" s="9"/>
      <c r="O83" s="9"/>
      <c r="P83" s="9"/>
      <c r="Q83" s="9"/>
      <c r="R83" s="9"/>
      <c r="S83" s="9"/>
      <c r="T83" s="9">
        <v>460.56</v>
      </c>
      <c r="U83" s="8" t="s">
        <v>472</v>
      </c>
    </row>
    <row r="84" spans="1:21" x14ac:dyDescent="0.35">
      <c r="A84" s="5">
        <v>46267</v>
      </c>
      <c r="B84" s="2" t="s">
        <v>11</v>
      </c>
      <c r="C84" s="2"/>
      <c r="D84" s="2"/>
      <c r="E84" s="2" t="s">
        <v>470</v>
      </c>
      <c r="F84" s="4" t="s">
        <v>471</v>
      </c>
      <c r="G84" s="2"/>
      <c r="H84" s="2" t="s">
        <v>450</v>
      </c>
      <c r="I84" s="2"/>
      <c r="J84" s="2"/>
      <c r="K84" s="2"/>
      <c r="L84" s="9"/>
      <c r="M84" s="11">
        <f t="shared" si="1"/>
        <v>0</v>
      </c>
      <c r="N84" s="9"/>
      <c r="O84" s="9"/>
      <c r="P84" s="9"/>
      <c r="Q84" s="9"/>
      <c r="R84" s="9"/>
      <c r="S84" s="9"/>
      <c r="T84" s="9">
        <v>27.5</v>
      </c>
      <c r="U84" s="8" t="s">
        <v>473</v>
      </c>
    </row>
    <row r="85" spans="1:21" x14ac:dyDescent="0.35">
      <c r="A85" s="5">
        <v>46267</v>
      </c>
      <c r="B85" s="2" t="s">
        <v>11</v>
      </c>
      <c r="C85" s="2"/>
      <c r="D85" s="2"/>
      <c r="E85" s="2" t="s">
        <v>470</v>
      </c>
      <c r="F85" s="4" t="s">
        <v>471</v>
      </c>
      <c r="G85" s="2"/>
      <c r="H85" s="2" t="s">
        <v>450</v>
      </c>
      <c r="I85" s="2"/>
      <c r="J85" s="2"/>
      <c r="K85" s="2"/>
      <c r="L85" s="9"/>
      <c r="M85" s="11">
        <f t="shared" si="1"/>
        <v>0</v>
      </c>
      <c r="N85" s="9"/>
      <c r="O85" s="9"/>
      <c r="P85" s="9"/>
      <c r="Q85" s="9"/>
      <c r="R85" s="9"/>
      <c r="S85" s="9"/>
      <c r="T85" s="9">
        <v>110</v>
      </c>
      <c r="U85" s="8" t="s">
        <v>474</v>
      </c>
    </row>
    <row r="86" spans="1:21" x14ac:dyDescent="0.35">
      <c r="A86" s="5">
        <v>46268</v>
      </c>
      <c r="B86" s="2" t="s">
        <v>11</v>
      </c>
      <c r="C86" s="2" t="s">
        <v>33</v>
      </c>
      <c r="D86" s="2" t="s">
        <v>13</v>
      </c>
      <c r="E86" s="12" t="s">
        <v>287</v>
      </c>
      <c r="F86" s="16" t="s">
        <v>288</v>
      </c>
      <c r="G86" s="2" t="s">
        <v>16</v>
      </c>
      <c r="H86" s="2" t="s">
        <v>289</v>
      </c>
      <c r="I86" s="2">
        <v>92</v>
      </c>
      <c r="J86" s="2" t="s">
        <v>290</v>
      </c>
      <c r="K86" s="2" t="s">
        <v>19</v>
      </c>
      <c r="L86" s="9">
        <v>14</v>
      </c>
      <c r="M86" s="11">
        <f t="shared" si="1"/>
        <v>3.36</v>
      </c>
      <c r="N86" s="9">
        <v>50</v>
      </c>
      <c r="O86" s="9"/>
      <c r="P86" s="9">
        <v>41.73</v>
      </c>
      <c r="Q86" s="9"/>
      <c r="R86" s="9"/>
      <c r="S86" s="9"/>
      <c r="T86" s="26">
        <v>27.5</v>
      </c>
      <c r="U86" s="29" t="s">
        <v>494</v>
      </c>
    </row>
    <row r="87" spans="1:21" x14ac:dyDescent="0.35">
      <c r="A87" s="5">
        <v>46269</v>
      </c>
      <c r="B87" s="2" t="s">
        <v>11</v>
      </c>
      <c r="C87" s="2" t="s">
        <v>27</v>
      </c>
      <c r="D87" s="2" t="s">
        <v>13</v>
      </c>
      <c r="E87" s="12" t="s">
        <v>416</v>
      </c>
      <c r="F87" s="16" t="s">
        <v>288</v>
      </c>
      <c r="G87" s="2" t="s">
        <v>19</v>
      </c>
      <c r="H87" s="2" t="s">
        <v>255</v>
      </c>
      <c r="I87" s="2">
        <v>53</v>
      </c>
      <c r="J87" s="2" t="s">
        <v>256</v>
      </c>
      <c r="K87" s="2" t="s">
        <v>16</v>
      </c>
      <c r="L87" s="26">
        <v>390.48</v>
      </c>
      <c r="M87" s="27">
        <f t="shared" si="1"/>
        <v>93.715199999999996</v>
      </c>
      <c r="N87" s="9">
        <v>50</v>
      </c>
      <c r="O87" s="9"/>
      <c r="P87" s="26">
        <v>10.23</v>
      </c>
      <c r="Q87" s="9"/>
      <c r="R87" s="26">
        <v>41.15</v>
      </c>
      <c r="S87" s="9">
        <v>20</v>
      </c>
      <c r="T87" s="9"/>
      <c r="U87" s="8" t="s">
        <v>437</v>
      </c>
    </row>
    <row r="88" spans="1:21" x14ac:dyDescent="0.35">
      <c r="A88" s="5">
        <v>46268</v>
      </c>
      <c r="B88" s="2" t="s">
        <v>11</v>
      </c>
      <c r="C88" s="2" t="s">
        <v>107</v>
      </c>
      <c r="D88" s="2" t="s">
        <v>13</v>
      </c>
      <c r="E88" s="14" t="s">
        <v>291</v>
      </c>
      <c r="F88" s="15" t="s">
        <v>292</v>
      </c>
      <c r="G88" s="2" t="s">
        <v>16</v>
      </c>
      <c r="H88" s="2" t="s">
        <v>293</v>
      </c>
      <c r="I88" s="2">
        <v>11</v>
      </c>
      <c r="J88" s="2" t="s">
        <v>294</v>
      </c>
      <c r="K88" s="2" t="s">
        <v>19</v>
      </c>
      <c r="L88" s="26">
        <v>95</v>
      </c>
      <c r="M88" s="27">
        <f t="shared" si="1"/>
        <v>22.8</v>
      </c>
      <c r="N88" s="9">
        <v>50</v>
      </c>
      <c r="O88" s="9"/>
      <c r="P88" s="9">
        <v>3.24</v>
      </c>
      <c r="Q88" s="9"/>
      <c r="R88" s="9"/>
      <c r="S88" s="9"/>
      <c r="T88" s="26">
        <v>27.5</v>
      </c>
      <c r="U88" s="29" t="s">
        <v>495</v>
      </c>
    </row>
    <row r="89" spans="1:21" x14ac:dyDescent="0.35">
      <c r="A89" s="5">
        <v>46268</v>
      </c>
      <c r="B89" s="2" t="s">
        <v>11</v>
      </c>
      <c r="C89" s="2" t="s">
        <v>125</v>
      </c>
      <c r="D89" s="2" t="s">
        <v>13</v>
      </c>
      <c r="E89" s="14" t="s">
        <v>362</v>
      </c>
      <c r="F89" s="15" t="s">
        <v>292</v>
      </c>
      <c r="G89" s="2" t="s">
        <v>19</v>
      </c>
      <c r="H89" s="2" t="s">
        <v>275</v>
      </c>
      <c r="I89" s="2">
        <v>51</v>
      </c>
      <c r="J89" s="2" t="s">
        <v>276</v>
      </c>
      <c r="K89" s="2" t="s">
        <v>16</v>
      </c>
      <c r="L89" s="26">
        <v>150</v>
      </c>
      <c r="M89" s="27">
        <f t="shared" si="1"/>
        <v>36</v>
      </c>
      <c r="N89" s="9">
        <v>50</v>
      </c>
      <c r="O89" s="9"/>
      <c r="P89" s="26">
        <v>30.8</v>
      </c>
      <c r="Q89" s="9"/>
      <c r="R89" s="9">
        <v>36.200000000000003</v>
      </c>
      <c r="S89" s="9">
        <v>20</v>
      </c>
      <c r="T89" s="26">
        <v>27.5</v>
      </c>
      <c r="U89" s="29" t="s">
        <v>503</v>
      </c>
    </row>
    <row r="90" spans="1:21" x14ac:dyDescent="0.35">
      <c r="A90" s="5">
        <v>46268</v>
      </c>
      <c r="B90" s="2" t="s">
        <v>11</v>
      </c>
      <c r="C90" s="2" t="s">
        <v>295</v>
      </c>
      <c r="D90" s="2" t="s">
        <v>13</v>
      </c>
      <c r="E90" s="2" t="s">
        <v>296</v>
      </c>
      <c r="F90" s="4" t="s">
        <v>297</v>
      </c>
      <c r="G90" s="2" t="s">
        <v>298</v>
      </c>
      <c r="H90" s="2" t="s">
        <v>299</v>
      </c>
      <c r="I90" s="2">
        <v>12</v>
      </c>
      <c r="J90" s="2" t="s">
        <v>300</v>
      </c>
      <c r="K90" s="2" t="s">
        <v>26</v>
      </c>
      <c r="L90" s="26">
        <v>185</v>
      </c>
      <c r="M90" s="27">
        <f t="shared" si="1"/>
        <v>44.4</v>
      </c>
      <c r="N90" s="9"/>
      <c r="O90" s="9"/>
      <c r="P90" s="26">
        <v>11.18</v>
      </c>
      <c r="Q90" s="9"/>
      <c r="R90" s="9">
        <v>36.200000000000003</v>
      </c>
      <c r="S90" s="26">
        <v>105</v>
      </c>
      <c r="T90" s="26">
        <v>27.5</v>
      </c>
      <c r="U90" s="29" t="s">
        <v>496</v>
      </c>
    </row>
    <row r="91" spans="1:21" x14ac:dyDescent="0.35">
      <c r="A91" s="5">
        <v>46268</v>
      </c>
      <c r="B91" s="2" t="s">
        <v>11</v>
      </c>
      <c r="C91" s="2" t="s">
        <v>53</v>
      </c>
      <c r="D91" s="2" t="s">
        <v>13</v>
      </c>
      <c r="E91" s="2" t="s">
        <v>305</v>
      </c>
      <c r="F91" s="6" t="s">
        <v>306</v>
      </c>
      <c r="G91" s="2" t="s">
        <v>30</v>
      </c>
      <c r="H91" s="2" t="s">
        <v>153</v>
      </c>
      <c r="I91" s="2">
        <v>181</v>
      </c>
      <c r="J91" s="2" t="s">
        <v>154</v>
      </c>
      <c r="K91" s="2" t="s">
        <v>16</v>
      </c>
      <c r="L91" s="18">
        <v>388.3</v>
      </c>
      <c r="M91" s="11">
        <f t="shared" si="1"/>
        <v>93.191999999999993</v>
      </c>
      <c r="N91" s="18"/>
      <c r="O91" s="18"/>
      <c r="P91" s="28">
        <v>72.23</v>
      </c>
      <c r="Q91" s="18"/>
      <c r="R91" s="18">
        <v>36.200000000000003</v>
      </c>
      <c r="S91" s="9">
        <v>20</v>
      </c>
      <c r="T91" s="9"/>
      <c r="U91" s="8" t="s">
        <v>437</v>
      </c>
    </row>
    <row r="92" spans="1:21" x14ac:dyDescent="0.35">
      <c r="A92" s="5">
        <v>46268</v>
      </c>
      <c r="B92" s="2" t="s">
        <v>11</v>
      </c>
      <c r="C92" s="2" t="s">
        <v>128</v>
      </c>
      <c r="D92" s="2" t="s">
        <v>13</v>
      </c>
      <c r="E92" s="12" t="s">
        <v>307</v>
      </c>
      <c r="F92" s="16" t="s">
        <v>302</v>
      </c>
      <c r="G92" s="2" t="s">
        <v>16</v>
      </c>
      <c r="H92" s="2" t="s">
        <v>293</v>
      </c>
      <c r="I92" s="2">
        <v>11</v>
      </c>
      <c r="J92" s="2" t="s">
        <v>294</v>
      </c>
      <c r="K92" s="2" t="s">
        <v>19</v>
      </c>
      <c r="L92" s="26">
        <v>95</v>
      </c>
      <c r="M92" s="27">
        <f t="shared" si="1"/>
        <v>22.8</v>
      </c>
      <c r="N92" s="9">
        <v>50</v>
      </c>
      <c r="O92" s="9"/>
      <c r="P92" s="9">
        <v>3.24</v>
      </c>
      <c r="Q92" s="9"/>
      <c r="R92" s="9">
        <v>18.100000000000001</v>
      </c>
      <c r="S92" s="9"/>
      <c r="T92" s="9"/>
      <c r="U92" s="8"/>
    </row>
    <row r="93" spans="1:21" x14ac:dyDescent="0.35">
      <c r="A93" s="5">
        <v>46268</v>
      </c>
      <c r="B93" s="2" t="s">
        <v>11</v>
      </c>
      <c r="C93" s="2" t="s">
        <v>27</v>
      </c>
      <c r="D93" s="2" t="s">
        <v>13</v>
      </c>
      <c r="E93" s="12" t="s">
        <v>301</v>
      </c>
      <c r="F93" s="16" t="s">
        <v>302</v>
      </c>
      <c r="G93" s="2" t="s">
        <v>19</v>
      </c>
      <c r="H93" s="2" t="s">
        <v>303</v>
      </c>
      <c r="I93" s="2">
        <v>60</v>
      </c>
      <c r="J93" s="2" t="s">
        <v>304</v>
      </c>
      <c r="K93" s="2" t="s">
        <v>16</v>
      </c>
      <c r="L93" s="26">
        <v>169</v>
      </c>
      <c r="M93" s="27">
        <f t="shared" si="1"/>
        <v>40.559999999999995</v>
      </c>
      <c r="N93" s="9">
        <v>50</v>
      </c>
      <c r="O93" s="9"/>
      <c r="P93" s="26">
        <v>31.27</v>
      </c>
      <c r="Q93" s="9"/>
      <c r="R93" s="26">
        <v>18.100000000000001</v>
      </c>
      <c r="S93" s="9">
        <v>20</v>
      </c>
      <c r="T93" s="9">
        <v>41.25</v>
      </c>
      <c r="U93" s="8" t="s">
        <v>455</v>
      </c>
    </row>
    <row r="94" spans="1:21" x14ac:dyDescent="0.35">
      <c r="A94" s="5">
        <v>46268</v>
      </c>
      <c r="B94" s="2" t="s">
        <v>11</v>
      </c>
      <c r="C94" s="2" t="s">
        <v>164</v>
      </c>
      <c r="D94" s="2" t="s">
        <v>13</v>
      </c>
      <c r="E94" s="14" t="s">
        <v>308</v>
      </c>
      <c r="F94" s="15" t="s">
        <v>309</v>
      </c>
      <c r="G94" s="2" t="s">
        <v>16</v>
      </c>
      <c r="H94" s="2" t="s">
        <v>293</v>
      </c>
      <c r="I94" s="2">
        <v>11</v>
      </c>
      <c r="J94" s="2" t="s">
        <v>294</v>
      </c>
      <c r="K94" s="2" t="s">
        <v>19</v>
      </c>
      <c r="L94" s="26">
        <v>95</v>
      </c>
      <c r="M94" s="27">
        <f t="shared" si="1"/>
        <v>22.8</v>
      </c>
      <c r="N94" s="9">
        <v>50</v>
      </c>
      <c r="O94" s="9"/>
      <c r="P94" s="9">
        <v>3.24</v>
      </c>
      <c r="Q94" s="9"/>
      <c r="R94" s="9"/>
      <c r="S94" s="9"/>
      <c r="T94" s="9"/>
      <c r="U94" s="8"/>
    </row>
    <row r="95" spans="1:21" x14ac:dyDescent="0.35">
      <c r="A95" s="5">
        <v>46269</v>
      </c>
      <c r="B95" s="2" t="s">
        <v>11</v>
      </c>
      <c r="C95" s="2" t="s">
        <v>33</v>
      </c>
      <c r="D95" s="2" t="s">
        <v>13</v>
      </c>
      <c r="E95" s="14" t="s">
        <v>412</v>
      </c>
      <c r="F95" s="15" t="s">
        <v>309</v>
      </c>
      <c r="G95" s="2" t="s">
        <v>19</v>
      </c>
      <c r="H95" s="2" t="s">
        <v>36</v>
      </c>
      <c r="I95" s="2">
        <v>131</v>
      </c>
      <c r="J95" s="2" t="s">
        <v>37</v>
      </c>
      <c r="K95" s="2" t="s">
        <v>16</v>
      </c>
      <c r="L95" s="26">
        <v>359</v>
      </c>
      <c r="M95" s="27">
        <f t="shared" si="1"/>
        <v>86.16</v>
      </c>
      <c r="N95" s="9">
        <v>50</v>
      </c>
      <c r="O95" s="9"/>
      <c r="P95" s="26">
        <v>68.989999999999995</v>
      </c>
      <c r="Q95" s="9"/>
      <c r="R95" s="9">
        <v>36.200000000000003</v>
      </c>
      <c r="S95" s="9">
        <v>20</v>
      </c>
      <c r="T95" s="9"/>
      <c r="U95" s="29" t="s">
        <v>497</v>
      </c>
    </row>
    <row r="96" spans="1:21" x14ac:dyDescent="0.35">
      <c r="A96" s="5">
        <v>46268</v>
      </c>
      <c r="B96" s="2" t="s">
        <v>11</v>
      </c>
      <c r="C96" s="2" t="s">
        <v>38</v>
      </c>
      <c r="D96" s="2" t="s">
        <v>13</v>
      </c>
      <c r="E96" s="12" t="s">
        <v>310</v>
      </c>
      <c r="F96" s="16" t="s">
        <v>311</v>
      </c>
      <c r="G96" s="2" t="s">
        <v>16</v>
      </c>
      <c r="H96" s="2" t="s">
        <v>293</v>
      </c>
      <c r="I96" s="2">
        <v>11</v>
      </c>
      <c r="J96" s="2" t="s">
        <v>294</v>
      </c>
      <c r="K96" s="2" t="s">
        <v>19</v>
      </c>
      <c r="L96" s="26">
        <v>95</v>
      </c>
      <c r="M96" s="27">
        <f t="shared" si="1"/>
        <v>22.8</v>
      </c>
      <c r="N96" s="9">
        <v>50</v>
      </c>
      <c r="O96" s="9"/>
      <c r="P96" s="9">
        <v>3.24</v>
      </c>
      <c r="Q96" s="9"/>
      <c r="R96" s="9">
        <v>18.100000000000001</v>
      </c>
      <c r="S96" s="9"/>
      <c r="T96" s="9"/>
      <c r="U96" s="8"/>
    </row>
    <row r="97" spans="1:21" x14ac:dyDescent="0.35">
      <c r="A97" s="5">
        <v>46269</v>
      </c>
      <c r="B97" s="2" t="s">
        <v>11</v>
      </c>
      <c r="C97" s="2" t="s">
        <v>128</v>
      </c>
      <c r="D97" s="2" t="s">
        <v>13</v>
      </c>
      <c r="E97" s="12" t="s">
        <v>417</v>
      </c>
      <c r="F97" s="16" t="s">
        <v>311</v>
      </c>
      <c r="G97" s="2" t="s">
        <v>19</v>
      </c>
      <c r="H97" s="2" t="s">
        <v>255</v>
      </c>
      <c r="I97" s="2">
        <v>53</v>
      </c>
      <c r="J97" s="2" t="s">
        <v>256</v>
      </c>
      <c r="K97" s="2" t="s">
        <v>16</v>
      </c>
      <c r="L97" s="26">
        <v>220</v>
      </c>
      <c r="M97" s="27">
        <f t="shared" si="1"/>
        <v>52.8</v>
      </c>
      <c r="N97" s="9">
        <v>50</v>
      </c>
      <c r="O97" s="9"/>
      <c r="P97" s="26">
        <v>43.8</v>
      </c>
      <c r="Q97" s="9"/>
      <c r="R97" s="9"/>
      <c r="S97" s="9">
        <v>20</v>
      </c>
      <c r="T97" s="9"/>
      <c r="U97" s="29" t="s">
        <v>497</v>
      </c>
    </row>
    <row r="98" spans="1:21" x14ac:dyDescent="0.35">
      <c r="A98" s="5">
        <v>46268</v>
      </c>
      <c r="B98" s="2" t="s">
        <v>11</v>
      </c>
      <c r="C98" s="2" t="s">
        <v>164</v>
      </c>
      <c r="D98" s="2" t="s">
        <v>13</v>
      </c>
      <c r="E98" s="2" t="s">
        <v>312</v>
      </c>
      <c r="F98" s="6" t="s">
        <v>313</v>
      </c>
      <c r="G98" s="2" t="s">
        <v>30</v>
      </c>
      <c r="H98" s="2" t="s">
        <v>89</v>
      </c>
      <c r="I98" s="2">
        <v>200</v>
      </c>
      <c r="J98" s="2" t="s">
        <v>90</v>
      </c>
      <c r="K98" s="2" t="s">
        <v>16</v>
      </c>
      <c r="L98" s="9">
        <v>431.2</v>
      </c>
      <c r="M98" s="11">
        <f t="shared" si="1"/>
        <v>103.488</v>
      </c>
      <c r="N98" s="9"/>
      <c r="O98" s="9"/>
      <c r="P98" s="26">
        <v>72.23</v>
      </c>
      <c r="Q98" s="9"/>
      <c r="R98" s="9">
        <v>36.200000000000003</v>
      </c>
      <c r="S98" s="9">
        <v>20</v>
      </c>
      <c r="T98" s="26">
        <v>27.5</v>
      </c>
      <c r="U98" s="29" t="s">
        <v>498</v>
      </c>
    </row>
    <row r="99" spans="1:21" x14ac:dyDescent="0.35">
      <c r="A99" s="5">
        <v>46268</v>
      </c>
      <c r="B99" s="2" t="s">
        <v>11</v>
      </c>
      <c r="C99" s="2" t="s">
        <v>27</v>
      </c>
      <c r="D99" s="2" t="s">
        <v>13</v>
      </c>
      <c r="E99" s="2" t="s">
        <v>314</v>
      </c>
      <c r="F99" s="4" t="s">
        <v>315</v>
      </c>
      <c r="G99" s="2" t="s">
        <v>30</v>
      </c>
      <c r="H99" s="2" t="s">
        <v>316</v>
      </c>
      <c r="I99" s="2">
        <v>303</v>
      </c>
      <c r="J99" s="2" t="s">
        <v>317</v>
      </c>
      <c r="K99" s="2" t="s">
        <v>16</v>
      </c>
      <c r="L99" s="26">
        <v>678</v>
      </c>
      <c r="M99" s="27">
        <f t="shared" si="1"/>
        <v>162.72</v>
      </c>
      <c r="N99" s="9"/>
      <c r="O99" s="9"/>
      <c r="P99" s="26">
        <v>157.22999999999999</v>
      </c>
      <c r="Q99" s="9"/>
      <c r="R99" s="9">
        <v>36.200000000000003</v>
      </c>
      <c r="S99" s="9">
        <v>20</v>
      </c>
      <c r="T99" s="9"/>
      <c r="U99" s="8" t="s">
        <v>437</v>
      </c>
    </row>
    <row r="100" spans="1:21" x14ac:dyDescent="0.35">
      <c r="A100" s="5">
        <v>46268</v>
      </c>
      <c r="B100" s="2" t="s">
        <v>11</v>
      </c>
      <c r="C100" s="2" t="s">
        <v>295</v>
      </c>
      <c r="D100" s="2" t="s">
        <v>13</v>
      </c>
      <c r="E100" s="2" t="s">
        <v>318</v>
      </c>
      <c r="F100" s="6" t="s">
        <v>319</v>
      </c>
      <c r="G100" s="2" t="s">
        <v>30</v>
      </c>
      <c r="H100" s="2" t="s">
        <v>73</v>
      </c>
      <c r="I100" s="2">
        <v>57</v>
      </c>
      <c r="J100" s="2" t="s">
        <v>74</v>
      </c>
      <c r="K100" s="2" t="s">
        <v>16</v>
      </c>
      <c r="L100" s="9">
        <v>210</v>
      </c>
      <c r="M100" s="11">
        <f t="shared" si="1"/>
        <v>50.4</v>
      </c>
      <c r="N100" s="9"/>
      <c r="O100" s="9"/>
      <c r="P100" s="9">
        <v>33.04</v>
      </c>
      <c r="Q100" s="9"/>
      <c r="R100" s="9"/>
      <c r="S100" s="9">
        <v>20</v>
      </c>
      <c r="T100" s="9"/>
      <c r="U100" s="8" t="s">
        <v>437</v>
      </c>
    </row>
    <row r="101" spans="1:21" x14ac:dyDescent="0.35">
      <c r="A101" s="5">
        <v>46268</v>
      </c>
      <c r="B101" s="2" t="s">
        <v>11</v>
      </c>
      <c r="C101" s="2" t="s">
        <v>27</v>
      </c>
      <c r="D101" s="2" t="s">
        <v>13</v>
      </c>
      <c r="E101" s="2" t="s">
        <v>320</v>
      </c>
      <c r="F101" s="6" t="s">
        <v>321</v>
      </c>
      <c r="G101" s="2" t="s">
        <v>30</v>
      </c>
      <c r="H101" s="2" t="s">
        <v>101</v>
      </c>
      <c r="I101" s="2">
        <v>144</v>
      </c>
      <c r="J101" s="2" t="s">
        <v>102</v>
      </c>
      <c r="K101" s="2" t="s">
        <v>16</v>
      </c>
      <c r="L101" s="26">
        <v>334</v>
      </c>
      <c r="M101" s="27">
        <f t="shared" si="1"/>
        <v>80.16</v>
      </c>
      <c r="N101" s="9"/>
      <c r="O101" s="9"/>
      <c r="P101" s="26">
        <v>90.41</v>
      </c>
      <c r="Q101" s="9"/>
      <c r="R101" s="26">
        <v>36.200000000000003</v>
      </c>
      <c r="S101" s="9">
        <v>20</v>
      </c>
      <c r="T101" s="9"/>
      <c r="U101" s="8" t="s">
        <v>437</v>
      </c>
    </row>
    <row r="102" spans="1:21" x14ac:dyDescent="0.35">
      <c r="A102" s="5">
        <v>46268</v>
      </c>
      <c r="B102" s="2" t="s">
        <v>11</v>
      </c>
      <c r="C102" s="2" t="s">
        <v>164</v>
      </c>
      <c r="D102" s="2" t="s">
        <v>13</v>
      </c>
      <c r="E102" s="2" t="s">
        <v>322</v>
      </c>
      <c r="F102" s="6" t="s">
        <v>323</v>
      </c>
      <c r="G102" s="2" t="s">
        <v>30</v>
      </c>
      <c r="H102" s="2" t="s">
        <v>167</v>
      </c>
      <c r="I102" s="2">
        <v>132</v>
      </c>
      <c r="J102" s="2" t="s">
        <v>168</v>
      </c>
      <c r="K102" s="2" t="s">
        <v>16</v>
      </c>
      <c r="L102" s="9">
        <v>299</v>
      </c>
      <c r="M102" s="11">
        <f t="shared" si="1"/>
        <v>71.759999999999991</v>
      </c>
      <c r="N102" s="9"/>
      <c r="O102" s="9"/>
      <c r="P102" s="9">
        <v>60.56</v>
      </c>
      <c r="Q102" s="9"/>
      <c r="R102" s="9"/>
      <c r="S102" s="9">
        <v>20</v>
      </c>
      <c r="T102" s="9"/>
      <c r="U102" s="8" t="s">
        <v>437</v>
      </c>
    </row>
    <row r="103" spans="1:21" x14ac:dyDescent="0.35">
      <c r="A103" s="5">
        <v>46268</v>
      </c>
      <c r="B103" s="2" t="s">
        <v>11</v>
      </c>
      <c r="C103" s="2" t="s">
        <v>38</v>
      </c>
      <c r="D103" s="2" t="s">
        <v>13</v>
      </c>
      <c r="E103" s="2" t="s">
        <v>324</v>
      </c>
      <c r="F103" s="6" t="s">
        <v>325</v>
      </c>
      <c r="G103" s="2" t="s">
        <v>30</v>
      </c>
      <c r="H103" s="2" t="s">
        <v>167</v>
      </c>
      <c r="I103" s="2">
        <v>132</v>
      </c>
      <c r="J103" s="2" t="s">
        <v>168</v>
      </c>
      <c r="K103" s="2" t="s">
        <v>16</v>
      </c>
      <c r="L103" s="9">
        <v>299</v>
      </c>
      <c r="M103" s="11">
        <f t="shared" si="1"/>
        <v>71.759999999999991</v>
      </c>
      <c r="N103" s="9"/>
      <c r="O103" s="9"/>
      <c r="P103" s="9">
        <v>60.56</v>
      </c>
      <c r="Q103" s="9"/>
      <c r="R103" s="9"/>
      <c r="S103" s="9">
        <v>20</v>
      </c>
      <c r="T103" s="26">
        <v>41.25</v>
      </c>
      <c r="U103" s="29" t="s">
        <v>499</v>
      </c>
    </row>
    <row r="104" spans="1:21" x14ac:dyDescent="0.35">
      <c r="A104" s="5">
        <v>46268</v>
      </c>
      <c r="B104" s="2" t="s">
        <v>11</v>
      </c>
      <c r="C104" s="2" t="s">
        <v>65</v>
      </c>
      <c r="D104" s="2" t="s">
        <v>21</v>
      </c>
      <c r="E104" s="2" t="s">
        <v>326</v>
      </c>
      <c r="F104" s="6" t="s">
        <v>327</v>
      </c>
      <c r="G104" s="2" t="s">
        <v>30</v>
      </c>
      <c r="H104" s="2" t="s">
        <v>328</v>
      </c>
      <c r="I104" s="2">
        <v>145</v>
      </c>
      <c r="J104" s="2" t="s">
        <v>329</v>
      </c>
      <c r="K104" s="2" t="s">
        <v>16</v>
      </c>
      <c r="L104" s="9">
        <v>334</v>
      </c>
      <c r="M104" s="11">
        <f t="shared" si="1"/>
        <v>80.16</v>
      </c>
      <c r="N104" s="9"/>
      <c r="O104" s="9"/>
      <c r="P104" s="26">
        <v>80.64</v>
      </c>
      <c r="Q104" s="9"/>
      <c r="R104" s="9">
        <v>36.200000000000003</v>
      </c>
      <c r="S104" s="9">
        <v>20</v>
      </c>
      <c r="T104" s="9"/>
      <c r="U104" s="8" t="s">
        <v>437</v>
      </c>
    </row>
    <row r="105" spans="1:21" x14ac:dyDescent="0.35">
      <c r="A105" s="5">
        <v>46268</v>
      </c>
      <c r="B105" s="2" t="s">
        <v>11</v>
      </c>
      <c r="C105" s="2" t="s">
        <v>125</v>
      </c>
      <c r="D105" s="2" t="s">
        <v>13</v>
      </c>
      <c r="E105" s="2" t="s">
        <v>330</v>
      </c>
      <c r="F105" s="6" t="s">
        <v>331</v>
      </c>
      <c r="G105" s="2" t="s">
        <v>30</v>
      </c>
      <c r="H105" s="2" t="s">
        <v>332</v>
      </c>
      <c r="I105" s="2">
        <v>110</v>
      </c>
      <c r="J105" s="2" t="s">
        <v>333</v>
      </c>
      <c r="K105" s="2" t="s">
        <v>16</v>
      </c>
      <c r="L105" s="9">
        <v>255</v>
      </c>
      <c r="M105" s="11">
        <f t="shared" si="1"/>
        <v>61.199999999999996</v>
      </c>
      <c r="N105" s="9"/>
      <c r="O105" s="9"/>
      <c r="P105" s="26">
        <v>62.72</v>
      </c>
      <c r="Q105" s="9"/>
      <c r="R105" s="9">
        <v>36.200000000000003</v>
      </c>
      <c r="S105" s="9">
        <v>20</v>
      </c>
      <c r="T105" s="26">
        <v>35</v>
      </c>
      <c r="U105" s="29" t="s">
        <v>500</v>
      </c>
    </row>
    <row r="106" spans="1:21" x14ac:dyDescent="0.35">
      <c r="A106" s="5">
        <v>46268</v>
      </c>
      <c r="B106" s="2" t="s">
        <v>11</v>
      </c>
      <c r="C106" s="2" t="s">
        <v>27</v>
      </c>
      <c r="D106" s="2" t="s">
        <v>13</v>
      </c>
      <c r="E106" s="2" t="s">
        <v>334</v>
      </c>
      <c r="F106" s="6" t="s">
        <v>335</v>
      </c>
      <c r="G106" s="2" t="s">
        <v>30</v>
      </c>
      <c r="H106" s="2" t="s">
        <v>336</v>
      </c>
      <c r="I106" s="2">
        <v>97</v>
      </c>
      <c r="J106" s="2" t="s">
        <v>337</v>
      </c>
      <c r="K106" s="2" t="s">
        <v>16</v>
      </c>
      <c r="L106" s="18">
        <v>249</v>
      </c>
      <c r="M106" s="11">
        <f t="shared" si="1"/>
        <v>59.76</v>
      </c>
      <c r="N106" s="18"/>
      <c r="O106" s="18"/>
      <c r="P106" s="28">
        <v>54.32</v>
      </c>
      <c r="Q106" s="18"/>
      <c r="R106" s="18">
        <v>36.200000000000003</v>
      </c>
      <c r="S106" s="9">
        <v>20</v>
      </c>
      <c r="T106" s="9">
        <v>25</v>
      </c>
      <c r="U106" s="8" t="s">
        <v>466</v>
      </c>
    </row>
    <row r="107" spans="1:21" x14ac:dyDescent="0.35">
      <c r="A107" s="5">
        <v>46268</v>
      </c>
      <c r="B107" s="2" t="s">
        <v>11</v>
      </c>
      <c r="C107" s="2" t="s">
        <v>338</v>
      </c>
      <c r="D107" s="2" t="s">
        <v>339</v>
      </c>
      <c r="E107" s="2" t="s">
        <v>340</v>
      </c>
      <c r="F107" s="4" t="s">
        <v>341</v>
      </c>
      <c r="G107" s="2" t="s">
        <v>30</v>
      </c>
      <c r="H107" s="2" t="s">
        <v>136</v>
      </c>
      <c r="I107" s="2">
        <v>14</v>
      </c>
      <c r="J107" s="2" t="s">
        <v>137</v>
      </c>
      <c r="K107" s="2" t="s">
        <v>16</v>
      </c>
      <c r="L107" s="9">
        <v>155</v>
      </c>
      <c r="M107" s="11">
        <f t="shared" si="1"/>
        <v>37.199999999999996</v>
      </c>
      <c r="N107" s="9"/>
      <c r="O107" s="9"/>
      <c r="P107" s="9">
        <v>7.05</v>
      </c>
      <c r="Q107" s="9"/>
      <c r="R107" s="9"/>
      <c r="S107" s="9">
        <v>20</v>
      </c>
      <c r="T107" s="26">
        <v>27.5</v>
      </c>
      <c r="U107" s="29" t="s">
        <v>501</v>
      </c>
    </row>
    <row r="108" spans="1:21" x14ac:dyDescent="0.35">
      <c r="A108" s="5">
        <v>46268</v>
      </c>
      <c r="B108" s="2" t="s">
        <v>11</v>
      </c>
      <c r="C108" s="2" t="s">
        <v>133</v>
      </c>
      <c r="D108" s="2" t="s">
        <v>13</v>
      </c>
      <c r="E108" s="2" t="s">
        <v>342</v>
      </c>
      <c r="F108" s="4" t="s">
        <v>343</v>
      </c>
      <c r="G108" s="2" t="s">
        <v>30</v>
      </c>
      <c r="H108" s="2" t="s">
        <v>147</v>
      </c>
      <c r="I108" s="2">
        <v>67</v>
      </c>
      <c r="J108" s="2" t="s">
        <v>148</v>
      </c>
      <c r="K108" s="2" t="s">
        <v>16</v>
      </c>
      <c r="L108" s="18">
        <v>229</v>
      </c>
      <c r="M108" s="11">
        <f t="shared" si="1"/>
        <v>54.96</v>
      </c>
      <c r="N108" s="18"/>
      <c r="O108" s="18"/>
      <c r="P108" s="18">
        <v>27.42</v>
      </c>
      <c r="Q108" s="18"/>
      <c r="R108" s="18">
        <v>36.200000000000003</v>
      </c>
      <c r="S108" s="9">
        <v>20</v>
      </c>
      <c r="T108" s="9"/>
      <c r="U108" s="8" t="s">
        <v>437</v>
      </c>
    </row>
    <row r="109" spans="1:21" x14ac:dyDescent="0.35">
      <c r="A109" s="5">
        <v>46268</v>
      </c>
      <c r="B109" s="2" t="s">
        <v>11</v>
      </c>
      <c r="C109" s="2" t="s">
        <v>133</v>
      </c>
      <c r="D109" s="2" t="s">
        <v>13</v>
      </c>
      <c r="E109" s="2" t="s">
        <v>344</v>
      </c>
      <c r="F109" s="4" t="s">
        <v>345</v>
      </c>
      <c r="G109" s="2" t="s">
        <v>30</v>
      </c>
      <c r="H109" s="2" t="s">
        <v>239</v>
      </c>
      <c r="I109" s="2">
        <v>49</v>
      </c>
      <c r="J109" s="2" t="s">
        <v>240</v>
      </c>
      <c r="K109" s="2" t="s">
        <v>16</v>
      </c>
      <c r="L109" s="9">
        <v>229</v>
      </c>
      <c r="M109" s="11">
        <f t="shared" si="1"/>
        <v>54.96</v>
      </c>
      <c r="N109" s="9"/>
      <c r="O109" s="9"/>
      <c r="P109" s="26">
        <v>35.28</v>
      </c>
      <c r="Q109" s="9"/>
      <c r="R109" s="9">
        <v>36.200000000000003</v>
      </c>
      <c r="S109" s="9">
        <v>20</v>
      </c>
      <c r="T109" s="9"/>
      <c r="U109" s="8" t="s">
        <v>437</v>
      </c>
    </row>
    <row r="110" spans="1:21" x14ac:dyDescent="0.35">
      <c r="A110" s="5">
        <v>46268</v>
      </c>
      <c r="B110" s="2" t="s">
        <v>11</v>
      </c>
      <c r="C110" s="2" t="s">
        <v>20</v>
      </c>
      <c r="D110" s="2" t="s">
        <v>13</v>
      </c>
      <c r="E110" s="2" t="s">
        <v>346</v>
      </c>
      <c r="F110" s="6" t="s">
        <v>347</v>
      </c>
      <c r="G110" s="2" t="s">
        <v>30</v>
      </c>
      <c r="H110" s="2" t="s">
        <v>348</v>
      </c>
      <c r="I110" s="2">
        <v>65</v>
      </c>
      <c r="J110" s="2" t="s">
        <v>349</v>
      </c>
      <c r="K110" s="2" t="s">
        <v>16</v>
      </c>
      <c r="L110" s="9">
        <v>229</v>
      </c>
      <c r="M110" s="11">
        <f t="shared" si="1"/>
        <v>54.96</v>
      </c>
      <c r="N110" s="9"/>
      <c r="O110" s="9"/>
      <c r="P110" s="9">
        <v>27.66</v>
      </c>
      <c r="Q110" s="9"/>
      <c r="R110" s="9"/>
      <c r="S110" s="9">
        <v>20</v>
      </c>
      <c r="T110" s="26">
        <v>41.25</v>
      </c>
      <c r="U110" s="29" t="s">
        <v>502</v>
      </c>
    </row>
    <row r="111" spans="1:21" x14ac:dyDescent="0.35">
      <c r="A111" s="5">
        <v>46268</v>
      </c>
      <c r="B111" s="2" t="s">
        <v>11</v>
      </c>
      <c r="C111" s="2" t="s">
        <v>70</v>
      </c>
      <c r="D111" s="2" t="s">
        <v>13</v>
      </c>
      <c r="E111" s="2" t="s">
        <v>350</v>
      </c>
      <c r="F111" s="4" t="s">
        <v>351</v>
      </c>
      <c r="G111" s="2" t="s">
        <v>30</v>
      </c>
      <c r="H111" s="2" t="s">
        <v>352</v>
      </c>
      <c r="I111" s="2">
        <v>158</v>
      </c>
      <c r="J111" s="2" t="s">
        <v>353</v>
      </c>
      <c r="K111" s="2" t="s">
        <v>16</v>
      </c>
      <c r="L111" s="26">
        <v>349</v>
      </c>
      <c r="M111" s="27">
        <f t="shared" si="1"/>
        <v>83.759999999999991</v>
      </c>
      <c r="N111" s="9"/>
      <c r="O111" s="9"/>
      <c r="P111" s="26">
        <v>72.23</v>
      </c>
      <c r="Q111" s="9"/>
      <c r="R111" s="9">
        <v>36.200000000000003</v>
      </c>
      <c r="S111" s="9">
        <v>20</v>
      </c>
      <c r="T111" s="9"/>
      <c r="U111" s="8" t="s">
        <v>437</v>
      </c>
    </row>
    <row r="112" spans="1:21" x14ac:dyDescent="0.35">
      <c r="A112" s="5">
        <v>46268</v>
      </c>
      <c r="B112" s="2" t="s">
        <v>11</v>
      </c>
      <c r="C112" s="2" t="s">
        <v>27</v>
      </c>
      <c r="D112" s="2" t="s">
        <v>13</v>
      </c>
      <c r="E112" s="2" t="s">
        <v>354</v>
      </c>
      <c r="F112" s="4" t="s">
        <v>355</v>
      </c>
      <c r="G112" s="2" t="s">
        <v>30</v>
      </c>
      <c r="H112" s="2" t="s">
        <v>269</v>
      </c>
      <c r="I112" s="2">
        <v>143</v>
      </c>
      <c r="J112" s="2" t="s">
        <v>270</v>
      </c>
      <c r="K112" s="2" t="s">
        <v>16</v>
      </c>
      <c r="L112" s="30">
        <v>334</v>
      </c>
      <c r="M112" s="11">
        <f t="shared" si="1"/>
        <v>80.16</v>
      </c>
      <c r="N112" s="9"/>
      <c r="O112" s="9"/>
      <c r="P112" s="26">
        <v>84.9</v>
      </c>
      <c r="Q112" s="9"/>
      <c r="R112" s="9"/>
      <c r="S112" s="9">
        <v>20</v>
      </c>
      <c r="T112" s="9"/>
      <c r="U112" s="8" t="s">
        <v>437</v>
      </c>
    </row>
    <row r="113" spans="1:21" x14ac:dyDescent="0.35">
      <c r="A113" s="5">
        <v>46268</v>
      </c>
      <c r="B113" s="2" t="s">
        <v>11</v>
      </c>
      <c r="C113" s="2" t="s">
        <v>128</v>
      </c>
      <c r="D113" s="2" t="s">
        <v>13</v>
      </c>
      <c r="E113" s="2" t="s">
        <v>356</v>
      </c>
      <c r="F113" s="4" t="s">
        <v>357</v>
      </c>
      <c r="G113" s="2" t="s">
        <v>30</v>
      </c>
      <c r="H113" s="2" t="s">
        <v>255</v>
      </c>
      <c r="I113" s="2">
        <v>53</v>
      </c>
      <c r="J113" s="2" t="s">
        <v>256</v>
      </c>
      <c r="K113" s="2" t="s">
        <v>16</v>
      </c>
      <c r="L113" s="18">
        <v>210</v>
      </c>
      <c r="M113" s="11">
        <f t="shared" si="1"/>
        <v>50.4</v>
      </c>
      <c r="N113" s="18"/>
      <c r="O113" s="18"/>
      <c r="P113" s="28">
        <v>30.24</v>
      </c>
      <c r="Q113" s="9"/>
      <c r="R113" s="9"/>
      <c r="S113" s="9">
        <v>20</v>
      </c>
      <c r="T113" s="9"/>
      <c r="U113" s="8" t="s">
        <v>437</v>
      </c>
    </row>
    <row r="114" spans="1:21" x14ac:dyDescent="0.35">
      <c r="A114" s="5">
        <v>46268</v>
      </c>
      <c r="B114" s="2" t="s">
        <v>11</v>
      </c>
      <c r="C114" s="2" t="s">
        <v>33</v>
      </c>
      <c r="D114" s="2" t="s">
        <v>13</v>
      </c>
      <c r="E114" s="2" t="s">
        <v>358</v>
      </c>
      <c r="F114" s="4" t="s">
        <v>359</v>
      </c>
      <c r="G114" s="2" t="s">
        <v>30</v>
      </c>
      <c r="H114" s="2" t="s">
        <v>275</v>
      </c>
      <c r="I114" s="2">
        <v>51</v>
      </c>
      <c r="J114" s="2" t="s">
        <v>276</v>
      </c>
      <c r="K114" s="2" t="s">
        <v>16</v>
      </c>
      <c r="L114" s="9">
        <v>210</v>
      </c>
      <c r="M114" s="11">
        <f t="shared" si="1"/>
        <v>50.4</v>
      </c>
      <c r="N114" s="9"/>
      <c r="O114" s="9"/>
      <c r="P114" s="26">
        <v>30.8</v>
      </c>
      <c r="Q114" s="9"/>
      <c r="R114" s="9"/>
      <c r="S114" s="9">
        <v>20</v>
      </c>
      <c r="T114" s="9"/>
      <c r="U114" s="8" t="s">
        <v>437</v>
      </c>
    </row>
    <row r="115" spans="1:21" x14ac:dyDescent="0.35">
      <c r="A115" s="5">
        <v>46268</v>
      </c>
      <c r="B115" s="2" t="s">
        <v>11</v>
      </c>
      <c r="C115" s="2" t="s">
        <v>33</v>
      </c>
      <c r="D115" s="2" t="s">
        <v>13</v>
      </c>
      <c r="E115" s="2" t="s">
        <v>360</v>
      </c>
      <c r="F115" s="6" t="s">
        <v>361</v>
      </c>
      <c r="G115" s="2" t="s">
        <v>30</v>
      </c>
      <c r="H115" s="2" t="s">
        <v>275</v>
      </c>
      <c r="I115" s="2">
        <v>51</v>
      </c>
      <c r="J115" s="2" t="s">
        <v>276</v>
      </c>
      <c r="K115" s="2" t="s">
        <v>16</v>
      </c>
      <c r="L115" s="9">
        <v>210</v>
      </c>
      <c r="M115" s="11">
        <f t="shared" si="1"/>
        <v>50.4</v>
      </c>
      <c r="N115" s="9"/>
      <c r="O115" s="9"/>
      <c r="P115" s="26">
        <v>30.8</v>
      </c>
      <c r="Q115" s="9"/>
      <c r="R115" s="9"/>
      <c r="S115" s="9">
        <v>20</v>
      </c>
      <c r="T115" s="9"/>
      <c r="U115" s="8" t="s">
        <v>437</v>
      </c>
    </row>
    <row r="116" spans="1:21" x14ac:dyDescent="0.35">
      <c r="A116" s="5">
        <v>46268</v>
      </c>
      <c r="B116" s="2" t="s">
        <v>11</v>
      </c>
      <c r="C116" s="2" t="s">
        <v>128</v>
      </c>
      <c r="D116" s="2" t="s">
        <v>13</v>
      </c>
      <c r="E116" s="2" t="s">
        <v>363</v>
      </c>
      <c r="F116" s="6" t="s">
        <v>364</v>
      </c>
      <c r="G116" s="2" t="s">
        <v>30</v>
      </c>
      <c r="H116" s="2" t="s">
        <v>365</v>
      </c>
      <c r="I116" s="2">
        <v>138</v>
      </c>
      <c r="J116" s="2" t="s">
        <v>366</v>
      </c>
      <c r="K116" s="2" t="s">
        <v>16</v>
      </c>
      <c r="L116" s="26">
        <v>322</v>
      </c>
      <c r="M116" s="27">
        <f t="shared" si="1"/>
        <v>77.28</v>
      </c>
      <c r="N116" s="9"/>
      <c r="O116" s="9"/>
      <c r="P116" s="26">
        <v>72.23</v>
      </c>
      <c r="Q116" s="9"/>
      <c r="R116" s="9">
        <v>36.200000000000003</v>
      </c>
      <c r="S116" s="9">
        <v>20</v>
      </c>
      <c r="T116" s="9"/>
      <c r="U116" s="8" t="s">
        <v>437</v>
      </c>
    </row>
    <row r="117" spans="1:21" x14ac:dyDescent="0.35">
      <c r="A117" s="5">
        <v>46268</v>
      </c>
      <c r="B117" s="2" t="s">
        <v>11</v>
      </c>
      <c r="C117" s="2" t="s">
        <v>65</v>
      </c>
      <c r="D117" s="2" t="s">
        <v>13</v>
      </c>
      <c r="E117" s="2" t="s">
        <v>367</v>
      </c>
      <c r="F117" s="4" t="s">
        <v>368</v>
      </c>
      <c r="G117" s="2" t="s">
        <v>30</v>
      </c>
      <c r="H117" s="2" t="s">
        <v>369</v>
      </c>
      <c r="I117" s="2">
        <v>93</v>
      </c>
      <c r="J117" s="2" t="s">
        <v>370</v>
      </c>
      <c r="K117" s="2" t="s">
        <v>16</v>
      </c>
      <c r="L117" s="9">
        <v>249</v>
      </c>
      <c r="M117" s="11">
        <f t="shared" si="1"/>
        <v>59.76</v>
      </c>
      <c r="N117" s="9"/>
      <c r="O117" s="9"/>
      <c r="P117" s="9">
        <v>50.9</v>
      </c>
      <c r="Q117" s="9"/>
      <c r="R117" s="9"/>
      <c r="S117" s="9">
        <v>20</v>
      </c>
      <c r="T117" s="9"/>
      <c r="U117" s="8" t="s">
        <v>437</v>
      </c>
    </row>
    <row r="118" spans="1:21" x14ac:dyDescent="0.35">
      <c r="A118" s="5">
        <v>46268</v>
      </c>
      <c r="B118" s="2" t="s">
        <v>11</v>
      </c>
      <c r="C118" s="2" t="s">
        <v>27</v>
      </c>
      <c r="D118" s="2" t="s">
        <v>13</v>
      </c>
      <c r="E118" s="2" t="s">
        <v>371</v>
      </c>
      <c r="F118" s="4" t="s">
        <v>372</v>
      </c>
      <c r="G118" s="2" t="s">
        <v>30</v>
      </c>
      <c r="H118" s="2" t="s">
        <v>373</v>
      </c>
      <c r="I118" s="2">
        <v>92</v>
      </c>
      <c r="J118" s="2" t="s">
        <v>374</v>
      </c>
      <c r="K118" s="2" t="s">
        <v>16</v>
      </c>
      <c r="L118" s="18">
        <v>249</v>
      </c>
      <c r="M118" s="11">
        <f t="shared" si="1"/>
        <v>59.76</v>
      </c>
      <c r="N118" s="18"/>
      <c r="O118" s="18"/>
      <c r="P118" s="18">
        <v>47.22</v>
      </c>
      <c r="Q118" s="18"/>
      <c r="R118" s="28">
        <v>36.200000000000003</v>
      </c>
      <c r="S118" s="9">
        <v>20</v>
      </c>
      <c r="T118" s="9"/>
      <c r="U118" s="8" t="s">
        <v>437</v>
      </c>
    </row>
    <row r="119" spans="1:21" x14ac:dyDescent="0.35">
      <c r="A119" s="5">
        <v>46269</v>
      </c>
      <c r="B119" s="2" t="s">
        <v>11</v>
      </c>
      <c r="C119" s="2" t="s">
        <v>375</v>
      </c>
      <c r="D119" s="2" t="s">
        <v>202</v>
      </c>
      <c r="E119" s="2" t="s">
        <v>376</v>
      </c>
      <c r="F119" s="6" t="s">
        <v>377</v>
      </c>
      <c r="G119" s="2" t="s">
        <v>16</v>
      </c>
      <c r="H119" s="2" t="s">
        <v>289</v>
      </c>
      <c r="I119" s="2">
        <v>92</v>
      </c>
      <c r="J119" s="2" t="s">
        <v>290</v>
      </c>
      <c r="K119" s="2" t="s">
        <v>26</v>
      </c>
      <c r="L119" s="9">
        <v>249</v>
      </c>
      <c r="M119" s="11">
        <f t="shared" si="1"/>
        <v>59.76</v>
      </c>
      <c r="N119" s="9"/>
      <c r="O119" s="9"/>
      <c r="P119" s="9">
        <v>50.9</v>
      </c>
      <c r="Q119" s="9"/>
      <c r="R119" s="9"/>
      <c r="S119" s="9">
        <v>20</v>
      </c>
      <c r="T119" s="9"/>
      <c r="U119" s="8" t="s">
        <v>437</v>
      </c>
    </row>
    <row r="120" spans="1:21" x14ac:dyDescent="0.35">
      <c r="A120" s="5">
        <v>46269</v>
      </c>
      <c r="B120" s="2" t="s">
        <v>11</v>
      </c>
      <c r="C120" s="2" t="s">
        <v>65</v>
      </c>
      <c r="D120" s="2" t="s">
        <v>13</v>
      </c>
      <c r="E120" s="2" t="s">
        <v>378</v>
      </c>
      <c r="F120" s="6" t="s">
        <v>379</v>
      </c>
      <c r="G120" s="2" t="s">
        <v>16</v>
      </c>
      <c r="H120" s="2" t="s">
        <v>293</v>
      </c>
      <c r="I120" s="2">
        <v>11</v>
      </c>
      <c r="J120" s="2" t="s">
        <v>294</v>
      </c>
      <c r="K120" s="2" t="s">
        <v>26</v>
      </c>
      <c r="L120" s="18">
        <v>155</v>
      </c>
      <c r="M120" s="11">
        <f t="shared" si="1"/>
        <v>37.199999999999996</v>
      </c>
      <c r="N120" s="18"/>
      <c r="O120" s="18"/>
      <c r="P120" s="28">
        <v>4.54</v>
      </c>
      <c r="Q120" s="18"/>
      <c r="R120" s="18">
        <v>36.200000000000003</v>
      </c>
      <c r="S120" s="9">
        <v>20</v>
      </c>
      <c r="T120" s="9"/>
      <c r="U120" s="8" t="s">
        <v>437</v>
      </c>
    </row>
    <row r="121" spans="1:21" x14ac:dyDescent="0.35">
      <c r="A121" s="5">
        <v>46269</v>
      </c>
      <c r="B121" s="2" t="s">
        <v>11</v>
      </c>
      <c r="C121" s="2" t="s">
        <v>55</v>
      </c>
      <c r="D121" s="2" t="s">
        <v>13</v>
      </c>
      <c r="E121" s="14" t="s">
        <v>380</v>
      </c>
      <c r="F121" s="17" t="s">
        <v>381</v>
      </c>
      <c r="G121" s="2" t="s">
        <v>16</v>
      </c>
      <c r="H121" s="2" t="s">
        <v>382</v>
      </c>
      <c r="I121" s="2">
        <v>55</v>
      </c>
      <c r="J121" s="2" t="s">
        <v>383</v>
      </c>
      <c r="K121" s="2" t="s">
        <v>19</v>
      </c>
      <c r="L121" s="18">
        <v>105</v>
      </c>
      <c r="M121" s="11">
        <f t="shared" si="1"/>
        <v>25.2</v>
      </c>
      <c r="N121" s="18">
        <v>50</v>
      </c>
      <c r="O121" s="18"/>
      <c r="P121" s="28">
        <v>15.68</v>
      </c>
      <c r="Q121" s="18"/>
      <c r="R121" s="28">
        <v>18.100000000000001</v>
      </c>
      <c r="S121" s="9"/>
      <c r="T121" s="9"/>
      <c r="U121" s="8"/>
    </row>
    <row r="122" spans="1:21" x14ac:dyDescent="0.35">
      <c r="A122" s="5">
        <v>46269</v>
      </c>
      <c r="B122" s="2" t="s">
        <v>11</v>
      </c>
      <c r="C122" s="2" t="s">
        <v>128</v>
      </c>
      <c r="D122" s="2" t="s">
        <v>13</v>
      </c>
      <c r="E122" s="14" t="s">
        <v>413</v>
      </c>
      <c r="F122" s="17" t="s">
        <v>381</v>
      </c>
      <c r="G122" s="2" t="s">
        <v>19</v>
      </c>
      <c r="H122" s="2" t="s">
        <v>414</v>
      </c>
      <c r="I122" s="2">
        <v>56</v>
      </c>
      <c r="J122" s="2" t="s">
        <v>415</v>
      </c>
      <c r="K122" s="2" t="s">
        <v>16</v>
      </c>
      <c r="L122" s="18">
        <v>105</v>
      </c>
      <c r="M122" s="11">
        <f t="shared" si="1"/>
        <v>25.2</v>
      </c>
      <c r="N122" s="18">
        <v>50</v>
      </c>
      <c r="O122" s="18"/>
      <c r="P122" s="28">
        <v>15.68</v>
      </c>
      <c r="Q122" s="18"/>
      <c r="R122" s="18">
        <v>18.100000000000001</v>
      </c>
      <c r="S122" s="9">
        <v>20</v>
      </c>
      <c r="T122" s="9"/>
      <c r="U122" s="8" t="s">
        <v>437</v>
      </c>
    </row>
    <row r="123" spans="1:21" x14ac:dyDescent="0.35">
      <c r="A123" s="5">
        <v>46269</v>
      </c>
      <c r="B123" s="2" t="s">
        <v>11</v>
      </c>
      <c r="C123" s="2" t="s">
        <v>33</v>
      </c>
      <c r="D123" s="2" t="s">
        <v>13</v>
      </c>
      <c r="E123" s="2" t="s">
        <v>384</v>
      </c>
      <c r="F123" s="4" t="s">
        <v>385</v>
      </c>
      <c r="G123" s="2" t="s">
        <v>16</v>
      </c>
      <c r="H123" s="2" t="s">
        <v>386</v>
      </c>
      <c r="I123" s="2">
        <v>64</v>
      </c>
      <c r="J123" s="2" t="s">
        <v>387</v>
      </c>
      <c r="K123" s="2" t="s">
        <v>26</v>
      </c>
      <c r="L123" s="18">
        <v>236</v>
      </c>
      <c r="M123" s="11">
        <f t="shared" si="1"/>
        <v>56.64</v>
      </c>
      <c r="N123" s="18"/>
      <c r="O123" s="18"/>
      <c r="P123" s="18">
        <v>37.32</v>
      </c>
      <c r="Q123" s="18"/>
      <c r="R123" s="18">
        <v>36.200000000000003</v>
      </c>
      <c r="S123" s="9">
        <v>20</v>
      </c>
      <c r="T123" s="9"/>
      <c r="U123" s="8" t="s">
        <v>437</v>
      </c>
    </row>
    <row r="124" spans="1:21" x14ac:dyDescent="0.35">
      <c r="A124" s="5">
        <v>46269</v>
      </c>
      <c r="B124" s="2" t="s">
        <v>11</v>
      </c>
      <c r="C124" s="2" t="s">
        <v>33</v>
      </c>
      <c r="D124" s="2" t="s">
        <v>13</v>
      </c>
      <c r="E124" s="2" t="s">
        <v>388</v>
      </c>
      <c r="F124" s="6" t="s">
        <v>389</v>
      </c>
      <c r="G124" s="2" t="s">
        <v>16</v>
      </c>
      <c r="H124" s="2" t="s">
        <v>386</v>
      </c>
      <c r="I124" s="2">
        <v>64</v>
      </c>
      <c r="J124" s="2" t="s">
        <v>387</v>
      </c>
      <c r="K124" s="2" t="s">
        <v>26</v>
      </c>
      <c r="L124" s="18">
        <v>236</v>
      </c>
      <c r="M124" s="11">
        <f t="shared" si="1"/>
        <v>56.64</v>
      </c>
      <c r="N124" s="18"/>
      <c r="O124" s="18"/>
      <c r="P124" s="18">
        <v>37.32</v>
      </c>
      <c r="Q124" s="18"/>
      <c r="R124" s="18">
        <v>36.200000000000003</v>
      </c>
      <c r="S124" s="9">
        <v>20</v>
      </c>
      <c r="T124" s="9"/>
      <c r="U124" s="8" t="s">
        <v>437</v>
      </c>
    </row>
    <row r="125" spans="1:21" x14ac:dyDescent="0.35">
      <c r="A125" s="5">
        <v>46269</v>
      </c>
      <c r="B125" s="2" t="s">
        <v>11</v>
      </c>
      <c r="C125" s="2" t="s">
        <v>20</v>
      </c>
      <c r="D125" s="2" t="s">
        <v>13</v>
      </c>
      <c r="E125" s="2" t="s">
        <v>390</v>
      </c>
      <c r="F125" s="4" t="s">
        <v>391</v>
      </c>
      <c r="G125" s="2" t="s">
        <v>298</v>
      </c>
      <c r="H125" s="2" t="s">
        <v>299</v>
      </c>
      <c r="I125" s="2">
        <v>12</v>
      </c>
      <c r="J125" s="2" t="s">
        <v>300</v>
      </c>
      <c r="K125" s="2" t="s">
        <v>26</v>
      </c>
      <c r="L125" s="26">
        <v>185</v>
      </c>
      <c r="M125" s="27">
        <f t="shared" si="1"/>
        <v>44.4</v>
      </c>
      <c r="N125" s="9"/>
      <c r="O125" s="9"/>
      <c r="P125" s="26">
        <v>11.18</v>
      </c>
      <c r="Q125" s="9"/>
      <c r="R125" s="9">
        <v>36.200000000000003</v>
      </c>
      <c r="S125" s="26">
        <v>115</v>
      </c>
      <c r="T125" s="9"/>
      <c r="U125" s="29" t="s">
        <v>504</v>
      </c>
    </row>
    <row r="126" spans="1:21" x14ac:dyDescent="0.35">
      <c r="A126" s="5">
        <v>46269</v>
      </c>
      <c r="B126" s="2" t="s">
        <v>11</v>
      </c>
      <c r="C126" s="2" t="s">
        <v>128</v>
      </c>
      <c r="D126" s="2" t="s">
        <v>13</v>
      </c>
      <c r="E126" s="2" t="s">
        <v>392</v>
      </c>
      <c r="F126" s="6" t="s">
        <v>393</v>
      </c>
      <c r="G126" s="2" t="s">
        <v>16</v>
      </c>
      <c r="H126" s="2" t="s">
        <v>293</v>
      </c>
      <c r="I126" s="2">
        <v>11</v>
      </c>
      <c r="J126" s="2" t="s">
        <v>294</v>
      </c>
      <c r="K126" s="2" t="s">
        <v>26</v>
      </c>
      <c r="L126" s="18">
        <v>155</v>
      </c>
      <c r="M126" s="11">
        <f t="shared" si="1"/>
        <v>37.199999999999996</v>
      </c>
      <c r="N126" s="18"/>
      <c r="O126" s="18"/>
      <c r="P126" s="28">
        <v>4.54</v>
      </c>
      <c r="Q126" s="18"/>
      <c r="R126" s="18">
        <v>36.200000000000003</v>
      </c>
      <c r="S126" s="9">
        <v>20</v>
      </c>
      <c r="T126" s="9"/>
      <c r="U126" s="8" t="s">
        <v>437</v>
      </c>
    </row>
    <row r="127" spans="1:21" x14ac:dyDescent="0.35">
      <c r="A127" s="5">
        <v>46269</v>
      </c>
      <c r="B127" s="2" t="s">
        <v>11</v>
      </c>
      <c r="C127" s="2" t="s">
        <v>27</v>
      </c>
      <c r="D127" s="2" t="s">
        <v>13</v>
      </c>
      <c r="E127" s="2" t="s">
        <v>394</v>
      </c>
      <c r="F127" s="4" t="s">
        <v>395</v>
      </c>
      <c r="G127" s="2" t="s">
        <v>30</v>
      </c>
      <c r="H127" s="2" t="s">
        <v>303</v>
      </c>
      <c r="I127" s="2">
        <v>60</v>
      </c>
      <c r="J127" s="2" t="s">
        <v>304</v>
      </c>
      <c r="K127" s="2" t="s">
        <v>16</v>
      </c>
      <c r="L127" s="9">
        <v>229</v>
      </c>
      <c r="M127" s="11">
        <f t="shared" si="1"/>
        <v>54.96</v>
      </c>
      <c r="N127" s="9"/>
      <c r="O127" s="9"/>
      <c r="P127" s="26">
        <v>37.520000000000003</v>
      </c>
      <c r="Q127" s="9"/>
      <c r="R127" s="9"/>
      <c r="S127" s="9">
        <v>20</v>
      </c>
      <c r="T127" s="9"/>
      <c r="U127" s="8" t="s">
        <v>437</v>
      </c>
    </row>
    <row r="128" spans="1:21" x14ac:dyDescent="0.35">
      <c r="A128" s="5">
        <v>46269</v>
      </c>
      <c r="B128" s="2" t="s">
        <v>11</v>
      </c>
      <c r="C128" s="2" t="s">
        <v>164</v>
      </c>
      <c r="D128" s="2" t="s">
        <v>13</v>
      </c>
      <c r="E128" s="2" t="s">
        <v>396</v>
      </c>
      <c r="F128" s="6" t="s">
        <v>397</v>
      </c>
      <c r="G128" s="2" t="s">
        <v>16</v>
      </c>
      <c r="H128" s="2" t="s">
        <v>293</v>
      </c>
      <c r="I128" s="2">
        <v>11</v>
      </c>
      <c r="J128" s="2" t="s">
        <v>294</v>
      </c>
      <c r="K128" s="2" t="s">
        <v>26</v>
      </c>
      <c r="L128" s="18">
        <v>155</v>
      </c>
      <c r="M128" s="11">
        <f t="shared" si="1"/>
        <v>37.199999999999996</v>
      </c>
      <c r="N128" s="18"/>
      <c r="O128" s="18"/>
      <c r="P128" s="28">
        <v>4.54</v>
      </c>
      <c r="Q128" s="18"/>
      <c r="R128" s="18">
        <v>36.200000000000003</v>
      </c>
      <c r="S128" s="9">
        <v>20</v>
      </c>
      <c r="T128" s="9"/>
      <c r="U128" s="8" t="s">
        <v>437</v>
      </c>
    </row>
    <row r="129" spans="1:21" x14ac:dyDescent="0.35">
      <c r="A129" s="5">
        <v>46269</v>
      </c>
      <c r="B129" s="2" t="s">
        <v>11</v>
      </c>
      <c r="C129" s="2" t="s">
        <v>27</v>
      </c>
      <c r="D129" s="2" t="s">
        <v>13</v>
      </c>
      <c r="E129" s="2" t="s">
        <v>398</v>
      </c>
      <c r="F129" s="4" t="s">
        <v>399</v>
      </c>
      <c r="G129" s="2" t="s">
        <v>16</v>
      </c>
      <c r="H129" s="2" t="s">
        <v>400</v>
      </c>
      <c r="I129" s="2">
        <v>41</v>
      </c>
      <c r="J129" s="2" t="s">
        <v>401</v>
      </c>
      <c r="K129" s="2" t="s">
        <v>26</v>
      </c>
      <c r="L129" s="9">
        <v>185</v>
      </c>
      <c r="M129" s="11">
        <f t="shared" si="1"/>
        <v>44.4</v>
      </c>
      <c r="N129" s="9"/>
      <c r="O129" s="9"/>
      <c r="P129" s="26">
        <v>25.34</v>
      </c>
      <c r="Q129" s="9"/>
      <c r="R129" s="9"/>
      <c r="S129" s="9">
        <v>20</v>
      </c>
      <c r="T129" s="9"/>
      <c r="U129" s="8" t="s">
        <v>437</v>
      </c>
    </row>
    <row r="130" spans="1:21" x14ac:dyDescent="0.35">
      <c r="A130" s="5">
        <v>46269</v>
      </c>
      <c r="B130" s="2" t="s">
        <v>11</v>
      </c>
      <c r="C130" s="2" t="s">
        <v>38</v>
      </c>
      <c r="D130" s="2" t="s">
        <v>13</v>
      </c>
      <c r="E130" s="2" t="s">
        <v>402</v>
      </c>
      <c r="F130" s="4" t="s">
        <v>403</v>
      </c>
      <c r="G130" s="2" t="s">
        <v>16</v>
      </c>
      <c r="H130" s="2" t="s">
        <v>293</v>
      </c>
      <c r="I130" s="2">
        <v>11</v>
      </c>
      <c r="J130" s="2" t="s">
        <v>294</v>
      </c>
      <c r="K130" s="2" t="s">
        <v>26</v>
      </c>
      <c r="L130" s="18">
        <v>155</v>
      </c>
      <c r="M130" s="11">
        <f t="shared" si="1"/>
        <v>37.199999999999996</v>
      </c>
      <c r="N130" s="18"/>
      <c r="O130" s="18"/>
      <c r="P130" s="28">
        <v>4.54</v>
      </c>
      <c r="Q130" s="18"/>
      <c r="R130" s="18">
        <v>36.200000000000003</v>
      </c>
      <c r="S130" s="9">
        <v>20</v>
      </c>
      <c r="T130" s="9"/>
      <c r="U130" s="8" t="s">
        <v>437</v>
      </c>
    </row>
    <row r="131" spans="1:21" x14ac:dyDescent="0.35">
      <c r="A131" s="5">
        <v>46269</v>
      </c>
      <c r="B131" s="2" t="s">
        <v>11</v>
      </c>
      <c r="C131" s="2" t="s">
        <v>53</v>
      </c>
      <c r="D131" s="2" t="s">
        <v>13</v>
      </c>
      <c r="E131" s="2" t="s">
        <v>404</v>
      </c>
      <c r="F131" s="4" t="s">
        <v>405</v>
      </c>
      <c r="G131" s="2" t="s">
        <v>16</v>
      </c>
      <c r="H131" s="2" t="s">
        <v>293</v>
      </c>
      <c r="I131" s="2">
        <v>11</v>
      </c>
      <c r="J131" s="2" t="s">
        <v>294</v>
      </c>
      <c r="K131" s="2" t="s">
        <v>26</v>
      </c>
      <c r="L131" s="18">
        <v>155</v>
      </c>
      <c r="M131" s="11">
        <f t="shared" ref="M131:M138" si="2">24%*L131</f>
        <v>37.199999999999996</v>
      </c>
      <c r="N131" s="18"/>
      <c r="O131" s="18"/>
      <c r="P131" s="28">
        <v>4.54</v>
      </c>
      <c r="Q131" s="18"/>
      <c r="R131" s="18">
        <v>36.200000000000003</v>
      </c>
      <c r="S131" s="9">
        <v>20</v>
      </c>
      <c r="T131" s="9"/>
      <c r="U131" s="8" t="s">
        <v>437</v>
      </c>
    </row>
    <row r="132" spans="1:21" x14ac:dyDescent="0.35">
      <c r="A132" s="5">
        <v>46269</v>
      </c>
      <c r="B132" s="2" t="s">
        <v>11</v>
      </c>
      <c r="C132" s="2" t="s">
        <v>128</v>
      </c>
      <c r="D132" s="2" t="s">
        <v>13</v>
      </c>
      <c r="E132" s="2" t="s">
        <v>406</v>
      </c>
      <c r="F132" s="4" t="s">
        <v>407</v>
      </c>
      <c r="G132" s="2" t="s">
        <v>30</v>
      </c>
      <c r="H132" s="2" t="s">
        <v>131</v>
      </c>
      <c r="I132" s="2">
        <v>141</v>
      </c>
      <c r="J132" s="2" t="s">
        <v>132</v>
      </c>
      <c r="K132" s="2" t="s">
        <v>16</v>
      </c>
      <c r="L132" s="26">
        <v>322</v>
      </c>
      <c r="M132" s="27">
        <f t="shared" si="2"/>
        <v>77.28</v>
      </c>
      <c r="N132" s="9"/>
      <c r="O132" s="9"/>
      <c r="P132" s="26">
        <v>74.48</v>
      </c>
      <c r="Q132" s="9"/>
      <c r="R132" s="9">
        <v>36.200000000000003</v>
      </c>
      <c r="S132" s="9">
        <v>20</v>
      </c>
      <c r="T132" s="9"/>
      <c r="U132" s="8" t="s">
        <v>437</v>
      </c>
    </row>
    <row r="133" spans="1:21" x14ac:dyDescent="0.35">
      <c r="A133" s="5">
        <v>46269</v>
      </c>
      <c r="B133" s="2" t="s">
        <v>11</v>
      </c>
      <c r="C133" s="2" t="s">
        <v>48</v>
      </c>
      <c r="D133" s="2" t="s">
        <v>13</v>
      </c>
      <c r="E133" s="2" t="s">
        <v>408</v>
      </c>
      <c r="F133" s="4" t="s">
        <v>409</v>
      </c>
      <c r="G133" s="2" t="s">
        <v>16</v>
      </c>
      <c r="H133" s="2" t="s">
        <v>17</v>
      </c>
      <c r="I133" s="2">
        <v>129</v>
      </c>
      <c r="J133" s="2" t="s">
        <v>18</v>
      </c>
      <c r="K133" s="2" t="s">
        <v>26</v>
      </c>
      <c r="L133" s="9">
        <v>255</v>
      </c>
      <c r="M133" s="11">
        <f t="shared" si="2"/>
        <v>61.199999999999996</v>
      </c>
      <c r="N133" s="9"/>
      <c r="O133" s="9"/>
      <c r="P133" s="26">
        <v>62.72</v>
      </c>
      <c r="Q133" s="9"/>
      <c r="R133" s="9">
        <v>36.200000000000003</v>
      </c>
      <c r="S133" s="9">
        <v>20</v>
      </c>
      <c r="T133" s="9">
        <v>82.5</v>
      </c>
      <c r="U133" s="8" t="s">
        <v>443</v>
      </c>
    </row>
    <row r="134" spans="1:21" x14ac:dyDescent="0.35">
      <c r="A134" s="5">
        <v>46269</v>
      </c>
      <c r="B134" s="2" t="s">
        <v>11</v>
      </c>
      <c r="C134" s="2" t="s">
        <v>12</v>
      </c>
      <c r="D134" s="2" t="s">
        <v>13</v>
      </c>
      <c r="E134" s="2" t="s">
        <v>410</v>
      </c>
      <c r="F134" s="4" t="s">
        <v>411</v>
      </c>
      <c r="G134" s="2" t="s">
        <v>16</v>
      </c>
      <c r="H134" s="2" t="s">
        <v>17</v>
      </c>
      <c r="I134" s="2">
        <v>129</v>
      </c>
      <c r="J134" s="2" t="s">
        <v>18</v>
      </c>
      <c r="K134" s="2" t="s">
        <v>26</v>
      </c>
      <c r="L134" s="9">
        <v>255</v>
      </c>
      <c r="M134" s="11">
        <f t="shared" si="2"/>
        <v>61.199999999999996</v>
      </c>
      <c r="N134" s="9"/>
      <c r="O134" s="9"/>
      <c r="P134" s="26">
        <v>62.72</v>
      </c>
      <c r="Q134" s="9"/>
      <c r="R134" s="9">
        <v>36.200000000000003</v>
      </c>
      <c r="S134" s="9">
        <v>20</v>
      </c>
      <c r="T134" s="9">
        <v>55</v>
      </c>
      <c r="U134" s="8" t="s">
        <v>441</v>
      </c>
    </row>
    <row r="135" spans="1:21" x14ac:dyDescent="0.35">
      <c r="A135" s="5">
        <v>46269</v>
      </c>
      <c r="B135" s="2" t="s">
        <v>11</v>
      </c>
      <c r="C135" s="2" t="s">
        <v>33</v>
      </c>
      <c r="D135" s="2" t="s">
        <v>13</v>
      </c>
      <c r="E135" s="2" t="s">
        <v>418</v>
      </c>
      <c r="F135" s="6" t="s">
        <v>419</v>
      </c>
      <c r="G135" s="2" t="s">
        <v>30</v>
      </c>
      <c r="H135" s="2" t="s">
        <v>420</v>
      </c>
      <c r="I135" s="2">
        <v>52</v>
      </c>
      <c r="J135" s="2" t="s">
        <v>421</v>
      </c>
      <c r="K135" s="2" t="s">
        <v>16</v>
      </c>
      <c r="L135" s="9">
        <v>210</v>
      </c>
      <c r="M135" s="11">
        <f t="shared" si="2"/>
        <v>50.4</v>
      </c>
      <c r="N135" s="9"/>
      <c r="O135" s="9"/>
      <c r="P135" s="26">
        <v>30.8</v>
      </c>
      <c r="Q135" s="9"/>
      <c r="R135" s="9">
        <v>36.200000000000003</v>
      </c>
      <c r="S135" s="9">
        <v>20</v>
      </c>
      <c r="T135" s="9"/>
      <c r="U135" s="8" t="s">
        <v>437</v>
      </c>
    </row>
    <row r="136" spans="1:21" x14ac:dyDescent="0.35">
      <c r="A136" s="5">
        <v>46269</v>
      </c>
      <c r="B136" s="2" t="s">
        <v>11</v>
      </c>
      <c r="C136" s="2" t="s">
        <v>27</v>
      </c>
      <c r="D136" s="12" t="s">
        <v>60</v>
      </c>
      <c r="E136" s="2" t="s">
        <v>422</v>
      </c>
      <c r="F136" s="4" t="s">
        <v>423</v>
      </c>
      <c r="G136" s="2" t="s">
        <v>30</v>
      </c>
      <c r="H136" s="2" t="s">
        <v>231</v>
      </c>
      <c r="I136" s="2">
        <v>127</v>
      </c>
      <c r="J136" s="2" t="s">
        <v>232</v>
      </c>
      <c r="K136" s="2" t="s">
        <v>16</v>
      </c>
      <c r="L136" s="18">
        <v>280</v>
      </c>
      <c r="M136" s="11">
        <f t="shared" si="2"/>
        <v>67.2</v>
      </c>
      <c r="N136" s="18"/>
      <c r="O136" s="18"/>
      <c r="P136" s="18">
        <v>69.13</v>
      </c>
      <c r="Q136" s="9"/>
      <c r="R136" s="9"/>
      <c r="S136" s="9">
        <v>100</v>
      </c>
      <c r="T136" s="9"/>
      <c r="U136" s="8" t="s">
        <v>438</v>
      </c>
    </row>
    <row r="137" spans="1:21" x14ac:dyDescent="0.35">
      <c r="A137" s="5">
        <v>46269</v>
      </c>
      <c r="B137" s="2" t="s">
        <v>11</v>
      </c>
      <c r="C137" s="2" t="s">
        <v>27</v>
      </c>
      <c r="D137" s="2" t="s">
        <v>13</v>
      </c>
      <c r="E137" s="2" t="s">
        <v>424</v>
      </c>
      <c r="F137" s="4" t="s">
        <v>425</v>
      </c>
      <c r="G137" s="2" t="s">
        <v>30</v>
      </c>
      <c r="H137" s="2" t="s">
        <v>336</v>
      </c>
      <c r="I137" s="2">
        <v>97</v>
      </c>
      <c r="J137" s="2" t="s">
        <v>337</v>
      </c>
      <c r="K137" s="2" t="s">
        <v>16</v>
      </c>
      <c r="L137" s="18">
        <v>249</v>
      </c>
      <c r="M137" s="11">
        <f t="shared" si="2"/>
        <v>59.76</v>
      </c>
      <c r="N137" s="18"/>
      <c r="O137" s="18"/>
      <c r="P137" s="28">
        <v>54.32</v>
      </c>
      <c r="Q137" s="18"/>
      <c r="R137" s="18">
        <v>36.200000000000003</v>
      </c>
      <c r="S137" s="9">
        <v>20</v>
      </c>
      <c r="T137" s="9">
        <v>25</v>
      </c>
      <c r="U137" s="8" t="s">
        <v>477</v>
      </c>
    </row>
    <row r="138" spans="1:21" x14ac:dyDescent="0.35">
      <c r="A138" s="5">
        <v>46269</v>
      </c>
      <c r="B138" s="2" t="s">
        <v>11</v>
      </c>
      <c r="C138" s="2" t="s">
        <v>125</v>
      </c>
      <c r="D138" s="2" t="s">
        <v>13</v>
      </c>
      <c r="E138" s="2" t="s">
        <v>426</v>
      </c>
      <c r="F138" s="6" t="s">
        <v>427</v>
      </c>
      <c r="G138" s="2" t="s">
        <v>30</v>
      </c>
      <c r="H138" s="2" t="s">
        <v>136</v>
      </c>
      <c r="I138" s="2">
        <v>25</v>
      </c>
      <c r="J138" s="2" t="s">
        <v>261</v>
      </c>
      <c r="K138" s="2" t="s">
        <v>16</v>
      </c>
      <c r="L138" s="18">
        <v>170</v>
      </c>
      <c r="M138" s="11">
        <f t="shared" si="2"/>
        <v>40.799999999999997</v>
      </c>
      <c r="N138" s="18"/>
      <c r="O138" s="18"/>
      <c r="P138" s="18">
        <v>10.58</v>
      </c>
      <c r="Q138" s="9"/>
      <c r="R138" s="9"/>
      <c r="S138" s="9">
        <v>20</v>
      </c>
      <c r="T138" s="9"/>
      <c r="U138" s="8" t="s">
        <v>437</v>
      </c>
    </row>
    <row r="139" spans="1:21" x14ac:dyDescent="0.35">
      <c r="A139" s="31" t="s">
        <v>505</v>
      </c>
      <c r="B139" s="31"/>
      <c r="C139" s="31"/>
      <c r="D139" s="32" t="s">
        <v>13</v>
      </c>
      <c r="E139" s="31"/>
      <c r="F139" s="31"/>
      <c r="G139" s="31"/>
      <c r="H139" s="32" t="s">
        <v>506</v>
      </c>
      <c r="I139" s="31"/>
      <c r="J139" s="31"/>
      <c r="K139" s="31"/>
      <c r="L139" s="33">
        <v>250</v>
      </c>
    </row>
    <row r="140" spans="1:21" x14ac:dyDescent="0.35">
      <c r="A140" s="34">
        <v>46267</v>
      </c>
      <c r="B140" s="35" t="s">
        <v>11</v>
      </c>
      <c r="C140" s="36">
        <v>0.33333333333333331</v>
      </c>
      <c r="D140" s="32" t="s">
        <v>13</v>
      </c>
      <c r="E140" s="37" t="s">
        <v>507</v>
      </c>
      <c r="F140" s="35" t="s">
        <v>508</v>
      </c>
      <c r="G140" s="31"/>
      <c r="H140" s="32" t="s">
        <v>509</v>
      </c>
      <c r="I140" s="31"/>
      <c r="J140" s="31"/>
      <c r="K140" s="31"/>
      <c r="L140" s="38">
        <v>565.94000000000005</v>
      </c>
      <c r="M140" s="20"/>
      <c r="N140" s="20"/>
      <c r="O140" s="20"/>
      <c r="P140" s="20"/>
      <c r="Q140" s="20"/>
      <c r="R140" s="20"/>
      <c r="S140" s="21"/>
      <c r="T140" s="21"/>
    </row>
    <row r="141" spans="1:21" x14ac:dyDescent="0.35">
      <c r="A141" s="34">
        <v>46268</v>
      </c>
      <c r="B141" s="35" t="s">
        <v>11</v>
      </c>
      <c r="C141" s="36">
        <v>0.5</v>
      </c>
      <c r="D141" s="32" t="s">
        <v>13</v>
      </c>
      <c r="E141" s="31"/>
      <c r="F141" s="31" t="s">
        <v>510</v>
      </c>
      <c r="G141" s="31"/>
      <c r="H141" s="32" t="s">
        <v>511</v>
      </c>
      <c r="I141" s="31"/>
      <c r="J141" s="31"/>
      <c r="K141" s="31"/>
      <c r="L141" s="33">
        <v>470.12</v>
      </c>
      <c r="M141" s="21"/>
      <c r="N141" s="21"/>
      <c r="O141" s="21"/>
      <c r="P141" s="21"/>
      <c r="Q141" s="21"/>
      <c r="R141" s="21"/>
      <c r="S141" s="21"/>
      <c r="T141" s="21"/>
    </row>
    <row r="142" spans="1:21" x14ac:dyDescent="0.35">
      <c r="M142" s="21"/>
      <c r="N142" s="21"/>
      <c r="O142" s="21"/>
      <c r="P142" s="21"/>
      <c r="Q142" s="21"/>
      <c r="R142" s="21"/>
      <c r="S142" s="21"/>
      <c r="T142" s="21"/>
    </row>
    <row r="143" spans="1:21" x14ac:dyDescent="0.35">
      <c r="L143" s="19">
        <f>SUM(L2:L141)</f>
        <v>34228.14</v>
      </c>
      <c r="M143" s="19">
        <f>SUM(M2:M139)</f>
        <v>7906.0991999999942</v>
      </c>
      <c r="N143" s="19">
        <f t="shared" ref="N143:T143" si="3">SUM(N2:N138)</f>
        <v>1000</v>
      </c>
      <c r="O143" s="19">
        <f t="shared" si="3"/>
        <v>0</v>
      </c>
      <c r="P143" s="19">
        <f t="shared" si="3"/>
        <v>6060.5199999999995</v>
      </c>
      <c r="Q143" s="19">
        <f t="shared" si="3"/>
        <v>0</v>
      </c>
      <c r="R143" s="19">
        <f t="shared" si="3"/>
        <v>2629.4499999999985</v>
      </c>
      <c r="S143" s="19">
        <f t="shared" si="3"/>
        <v>3485</v>
      </c>
      <c r="T143" s="19">
        <f t="shared" si="3"/>
        <v>4057.73</v>
      </c>
      <c r="U143" s="19">
        <f>SUM(L143:T143)</f>
        <v>59366.939199999993</v>
      </c>
    </row>
    <row r="144" spans="1:21" x14ac:dyDescent="0.35">
      <c r="M144" s="21"/>
      <c r="N144" s="21"/>
      <c r="O144" s="21"/>
      <c r="P144" s="21"/>
      <c r="Q144" s="21"/>
      <c r="R144" s="21"/>
      <c r="S144" s="21"/>
      <c r="T144" s="21"/>
    </row>
    <row r="145" spans="11:20" x14ac:dyDescent="0.35">
      <c r="K145" s="22" t="s">
        <v>478</v>
      </c>
      <c r="L145" s="23">
        <f>L143</f>
        <v>34228.14</v>
      </c>
      <c r="M145" s="21"/>
      <c r="N145" s="21"/>
      <c r="O145" s="21"/>
      <c r="P145" s="21"/>
      <c r="Q145" s="21"/>
      <c r="R145" s="21"/>
      <c r="S145" s="21"/>
      <c r="T145" s="21"/>
    </row>
    <row r="146" spans="11:20" x14ac:dyDescent="0.35">
      <c r="K146" s="22" t="s">
        <v>482</v>
      </c>
      <c r="L146" s="23">
        <f>M143</f>
        <v>7906.0991999999942</v>
      </c>
      <c r="M146" s="21"/>
      <c r="N146" s="21"/>
      <c r="O146" s="21"/>
      <c r="P146" s="21"/>
      <c r="Q146" s="21"/>
      <c r="R146" s="21"/>
      <c r="S146" s="21"/>
      <c r="T146" s="21"/>
    </row>
    <row r="147" spans="11:20" x14ac:dyDescent="0.35">
      <c r="K147" s="22" t="s">
        <v>479</v>
      </c>
      <c r="L147" s="23">
        <f>N143</f>
        <v>1000</v>
      </c>
      <c r="M147" s="21"/>
      <c r="N147" s="21"/>
      <c r="O147" s="21"/>
      <c r="P147" s="21"/>
      <c r="Q147" s="21"/>
      <c r="R147" s="21"/>
      <c r="S147" s="21"/>
      <c r="T147" s="21"/>
    </row>
    <row r="148" spans="11:20" x14ac:dyDescent="0.35">
      <c r="K148" s="24" t="s">
        <v>480</v>
      </c>
      <c r="L148" s="23">
        <f>O143</f>
        <v>0</v>
      </c>
      <c r="M148" s="21"/>
      <c r="N148" s="21"/>
      <c r="O148" s="21"/>
      <c r="P148" s="21"/>
      <c r="Q148" s="21"/>
      <c r="R148" s="21"/>
      <c r="S148" s="21"/>
      <c r="T148" s="21"/>
    </row>
    <row r="149" spans="11:20" x14ac:dyDescent="0.35">
      <c r="K149" s="24" t="s">
        <v>431</v>
      </c>
      <c r="L149" s="23">
        <f>P143</f>
        <v>6060.5199999999995</v>
      </c>
      <c r="M149" s="21"/>
      <c r="N149" s="21"/>
      <c r="O149" s="21"/>
      <c r="P149" s="21"/>
      <c r="Q149" s="21"/>
      <c r="R149" s="21"/>
      <c r="S149" s="21"/>
      <c r="T149" s="21"/>
    </row>
    <row r="150" spans="11:20" x14ac:dyDescent="0.35">
      <c r="K150" s="24" t="s">
        <v>432</v>
      </c>
      <c r="L150" s="23">
        <f>Q143</f>
        <v>0</v>
      </c>
      <c r="M150" s="21"/>
      <c r="N150" s="21"/>
      <c r="O150" s="21"/>
      <c r="P150" s="21"/>
      <c r="Q150" s="21"/>
      <c r="R150" s="21"/>
      <c r="S150" s="21"/>
      <c r="T150" s="21"/>
    </row>
    <row r="151" spans="11:20" x14ac:dyDescent="0.35">
      <c r="K151" s="24" t="s">
        <v>433</v>
      </c>
      <c r="L151" s="23">
        <f>R143</f>
        <v>2629.4499999999985</v>
      </c>
    </row>
    <row r="152" spans="11:20" x14ac:dyDescent="0.35">
      <c r="K152" s="24" t="s">
        <v>481</v>
      </c>
      <c r="L152" s="23">
        <f>S143</f>
        <v>3485</v>
      </c>
    </row>
    <row r="153" spans="11:20" x14ac:dyDescent="0.35">
      <c r="K153" s="24" t="s">
        <v>435</v>
      </c>
      <c r="L153" s="23">
        <f>T143</f>
        <v>4057.73</v>
      </c>
    </row>
    <row r="154" spans="11:20" x14ac:dyDescent="0.35">
      <c r="K154" s="25" t="s">
        <v>478</v>
      </c>
      <c r="L154" s="23">
        <f>U143</f>
        <v>59366.939199999993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van der Veer</dc:creator>
  <cp:lastModifiedBy>DENIZ YUKSEL</cp:lastModifiedBy>
  <dcterms:created xsi:type="dcterms:W3CDTF">2026-09-08T13:51:36Z</dcterms:created>
  <dcterms:modified xsi:type="dcterms:W3CDTF">2026-10-12T20:37:56Z</dcterms:modified>
</cp:coreProperties>
</file>