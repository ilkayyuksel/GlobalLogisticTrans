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N:\vervoerders\GLT Yuksel\2026\"/>
    </mc:Choice>
  </mc:AlternateContent>
  <xr:revisionPtr revIDLastSave="0" documentId="13_ncr:1_{52F36FE7-B566-43A9-BBBD-A6493862691D}" xr6:coauthVersionLast="47" xr6:coauthVersionMax="47" xr10:uidLastSave="{00000000-0000-0000-0000-000000000000}"/>
  <bookViews>
    <workbookView xWindow="-120" yWindow="-120" windowWidth="29040" windowHeight="15720" xr2:uid="{A6D68E82-F1F2-4097-8C08-2062CE0A4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9" i="1" l="1"/>
  <c r="M110" i="1"/>
  <c r="M111" i="1"/>
  <c r="M112" i="1"/>
  <c r="M113" i="1"/>
  <c r="M114" i="1"/>
  <c r="M115" i="1"/>
  <c r="M128" i="1" s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N128" i="1"/>
  <c r="O128" i="1"/>
  <c r="P128" i="1"/>
  <c r="Q128" i="1"/>
  <c r="R128" i="1"/>
  <c r="S128" i="1"/>
  <c r="T128" i="1"/>
  <c r="L138" i="1" s="1"/>
  <c r="L128" i="1"/>
  <c r="L137" i="1"/>
  <c r="L136" i="1"/>
  <c r="L135" i="1"/>
  <c r="L134" i="1"/>
  <c r="L133" i="1"/>
  <c r="L132" i="1"/>
  <c r="M108" i="1"/>
  <c r="M2" i="1"/>
  <c r="L131" i="1" l="1"/>
  <c r="U128" i="1"/>
  <c r="L139" i="1" s="1"/>
  <c r="L130" i="1"/>
</calcChain>
</file>

<file path=xl/sharedStrings.xml><?xml version="1.0" encoding="utf-8"?>
<sst xmlns="http://schemas.openxmlformats.org/spreadsheetml/2006/main" count="1261" uniqueCount="456">
  <si>
    <t>Planning date</t>
  </si>
  <si>
    <t>Supplier</t>
  </si>
  <si>
    <t>Time (requested)</t>
  </si>
  <si>
    <t>Containertype</t>
  </si>
  <si>
    <t>Bookingnr</t>
  </si>
  <si>
    <t>Container nr.</t>
  </si>
  <si>
    <t>Startpoint</t>
  </si>
  <si>
    <t>Trip</t>
  </si>
  <si>
    <t>Distance</t>
  </si>
  <si>
    <t>Route</t>
  </si>
  <si>
    <t>Endpoint</t>
  </si>
  <si>
    <t>GLT</t>
  </si>
  <si>
    <t>08:00</t>
  </si>
  <si>
    <t>45PH</t>
  </si>
  <si>
    <t>BELANR2800783</t>
  </si>
  <si>
    <t>CNEU 4692827</t>
  </si>
  <si>
    <t>VOYAGE BEQ869</t>
  </si>
  <si>
    <t>Quay 869 -&gt; ROESELARE (RUMBEKE)</t>
  </si>
  <si>
    <t>BE-Q869,BE-88000040</t>
  </si>
  <si>
    <t>LOCATION BEQ869</t>
  </si>
  <si>
    <t>17:00</t>
  </si>
  <si>
    <t>DUBANR2803000</t>
  </si>
  <si>
    <t>EUCU 4580491</t>
  </si>
  <si>
    <t>Quay 869 -&gt; LESSINES</t>
  </si>
  <si>
    <t>BE-Q869,BE-78600000</t>
  </si>
  <si>
    <t xml:space="preserve">COMBINATION </t>
  </si>
  <si>
    <t>ANRDUB2810849</t>
  </si>
  <si>
    <t>EUCU 4541197</t>
  </si>
  <si>
    <t>RELEASE BEQ869</t>
  </si>
  <si>
    <t>SINT-AMANDSBERG -&gt; Quay 869</t>
  </si>
  <si>
    <t>BE-90420000,BE-Q869</t>
  </si>
  <si>
    <t>07:00</t>
  </si>
  <si>
    <t>ANRBEL2807162</t>
  </si>
  <si>
    <t>PVDU 1135150</t>
  </si>
  <si>
    <t>IEPER -&gt; Quay 869</t>
  </si>
  <si>
    <t>BE-89000000,BE-Q869</t>
  </si>
  <si>
    <t>13:00</t>
  </si>
  <si>
    <t>ANRBEL2807163</t>
  </si>
  <si>
    <t>CNEU 4683430</t>
  </si>
  <si>
    <t>ANRDUB2812036</t>
  </si>
  <si>
    <t>CNEU 4694202</t>
  </si>
  <si>
    <t>MERKSEM -&gt; Quay 869</t>
  </si>
  <si>
    <t>BE-21700000,BE-Q869</t>
  </si>
  <si>
    <t>08:30</t>
  </si>
  <si>
    <t>ANRDUB2812171</t>
  </si>
  <si>
    <t>EUCU 4532003</t>
  </si>
  <si>
    <t>MECHELEN (MUIZEN) -&gt; Quay 869</t>
  </si>
  <si>
    <t>BE-28120010,BE-Q869</t>
  </si>
  <si>
    <t>ANRDUB2812272</t>
  </si>
  <si>
    <t>PVDU 1139310</t>
  </si>
  <si>
    <t>WESTERLO (OEVEL) -&gt; Quay 869</t>
  </si>
  <si>
    <t>BE-22600020,BE-Q869</t>
  </si>
  <si>
    <t>ANRDUB2812480</t>
  </si>
  <si>
    <t>EUCU 1451931</t>
  </si>
  <si>
    <t>SINT-GILLIS-WAAS -&gt; Quay 869</t>
  </si>
  <si>
    <t>BE-91700000,BE-Q869</t>
  </si>
  <si>
    <t>07:30</t>
  </si>
  <si>
    <t>ANRCRK2812672</t>
  </si>
  <si>
    <t>EUCU 4530886</t>
  </si>
  <si>
    <t>MECHELEN -&gt; Quay 869</t>
  </si>
  <si>
    <t>BE-28000000,BE-Q869</t>
  </si>
  <si>
    <t>ANRDUB2812679</t>
  </si>
  <si>
    <t>PVDU 1146601</t>
  </si>
  <si>
    <t>AVELGEM -&gt; Quay 869</t>
  </si>
  <si>
    <t>BE-85800000,BE-Q869</t>
  </si>
  <si>
    <t>06:00</t>
  </si>
  <si>
    <t>ANRDUB2812749</t>
  </si>
  <si>
    <t>TLLU 1609235</t>
  </si>
  <si>
    <t>BOUSBECQUE -&gt; Quay 869</t>
  </si>
  <si>
    <t>FR-59166000,BE-Q869</t>
  </si>
  <si>
    <t>ANRCRK2813021</t>
  </si>
  <si>
    <t>EUCU 1450956</t>
  </si>
  <si>
    <t>OLEN -&gt; Quay 869</t>
  </si>
  <si>
    <t>BE-22500000,BE-Q869</t>
  </si>
  <si>
    <t>11:00</t>
  </si>
  <si>
    <t>ANRDUB2813023</t>
  </si>
  <si>
    <t>EUCU 2451073</t>
  </si>
  <si>
    <t>10:00</t>
  </si>
  <si>
    <t>ANRDUB2813024</t>
  </si>
  <si>
    <t>EUCU 2450122</t>
  </si>
  <si>
    <t>ANRDUB2813146</t>
  </si>
  <si>
    <t>EUCU 1453636</t>
  </si>
  <si>
    <t>HOOGSTRATEN (MEER) -&gt; Quay 869</t>
  </si>
  <si>
    <t>BE-23210010,BE-Q869</t>
  </si>
  <si>
    <t>ANRDUB2813278</t>
  </si>
  <si>
    <t>EUCU 4551209</t>
  </si>
  <si>
    <t>Kallo (Beveren) -&gt; Quay 869</t>
  </si>
  <si>
    <t>BE-91300020,BE-Q869</t>
  </si>
  <si>
    <t>11:30</t>
  </si>
  <si>
    <t>ANRDUB2813282</t>
  </si>
  <si>
    <t>EUCU 4561824</t>
  </si>
  <si>
    <t>LAAKDAL (EINDHOUT) -&gt; Quay 869</t>
  </si>
  <si>
    <t>BE-24300010,BE-Q869</t>
  </si>
  <si>
    <t>16:00</t>
  </si>
  <si>
    <t>ANRDUB2813292</t>
  </si>
  <si>
    <t>EUCU 4540626</t>
  </si>
  <si>
    <t>ANRCRK2813789</t>
  </si>
  <si>
    <t>TLLU 1609889</t>
  </si>
  <si>
    <t>DENDERMONDE -&gt; Quay 869</t>
  </si>
  <si>
    <t>BE-92000000,BE-Q869</t>
  </si>
  <si>
    <t>18:00</t>
  </si>
  <si>
    <t>DUBANR2802999</t>
  </si>
  <si>
    <t>PVDU 1133482</t>
  </si>
  <si>
    <t>ANRDUB2813862</t>
  </si>
  <si>
    <t>CNEU 4595806</t>
  </si>
  <si>
    <t>ANRDUB2814028</t>
  </si>
  <si>
    <t>EUCU 5450091</t>
  </si>
  <si>
    <t>09:00</t>
  </si>
  <si>
    <t>ANRDUB2814034</t>
  </si>
  <si>
    <t>PVDU 1128444</t>
  </si>
  <si>
    <t>14:00</t>
  </si>
  <si>
    <t>ANRDUB2814038</t>
  </si>
  <si>
    <t>EUCU 4584096</t>
  </si>
  <si>
    <t>ANRDUB2802561</t>
  </si>
  <si>
    <t>EUCU 4580188</t>
  </si>
  <si>
    <t>KESSEL-LO (WIJGMAAL) -&gt; Quay 869</t>
  </si>
  <si>
    <t>BE-30180010,BE-Q869</t>
  </si>
  <si>
    <t>BELANR2808536</t>
  </si>
  <si>
    <t>Quay 869 -&gt; SOUMAGNE</t>
  </si>
  <si>
    <t>BE-Q869,BE-46300000</t>
  </si>
  <si>
    <t>DUBANR2803006</t>
  </si>
  <si>
    <t>EUCU 2451005</t>
  </si>
  <si>
    <t>10:15</t>
  </si>
  <si>
    <t>BELANR2810840</t>
  </si>
  <si>
    <t>PVDU 1125738</t>
  </si>
  <si>
    <t>VOYAGE BEQ1742</t>
  </si>
  <si>
    <t>MPET 1742 -&gt; Melsele (Beveren)</t>
  </si>
  <si>
    <t>BE-Q1742,BE-91200040</t>
  </si>
  <si>
    <t>ANRBEL2807165</t>
  </si>
  <si>
    <t>TLLU 1609106</t>
  </si>
  <si>
    <t>ANRBEL2807164</t>
  </si>
  <si>
    <t>EUCU 4540971</t>
  </si>
  <si>
    <t>45RH</t>
  </si>
  <si>
    <t>BELANR2811452</t>
  </si>
  <si>
    <t>EUCU 9455321</t>
  </si>
  <si>
    <t>MPET 1742 -&gt; DENDERMONDE</t>
  </si>
  <si>
    <t>BE-Q1742,BE-92000000</t>
  </si>
  <si>
    <t>BELANR2811455</t>
  </si>
  <si>
    <t>EUCU 9454074</t>
  </si>
  <si>
    <t>05:00</t>
  </si>
  <si>
    <t>45OS</t>
  </si>
  <si>
    <t>ANRDUB2812203</t>
  </si>
  <si>
    <t>EUCU 4590355</t>
  </si>
  <si>
    <t>WIELSBEKE -&gt; Quay 869</t>
  </si>
  <si>
    <t>BE-87100000,BE-Q869</t>
  </si>
  <si>
    <t>ANRBEL2813033</t>
  </si>
  <si>
    <t>EUCU 1451335</t>
  </si>
  <si>
    <t>SCHOTEN -&gt; SCHOTEN -&gt; Quay 869</t>
  </si>
  <si>
    <t>BE-29000000,BE-29000000,BE-29000000,BE-Q869</t>
  </si>
  <si>
    <t>ANRDUB2813044</t>
  </si>
  <si>
    <t>ARENDONK -&gt; Quay 869</t>
  </si>
  <si>
    <t>BE-23700000,BE-Q869</t>
  </si>
  <si>
    <t>ANRBEL2813202</t>
  </si>
  <si>
    <t>WAREGEM -&gt; Quay 869</t>
  </si>
  <si>
    <t>BE-87930000,BE-Q869</t>
  </si>
  <si>
    <t>15:00</t>
  </si>
  <si>
    <t>40FL</t>
  </si>
  <si>
    <t>ANRDUB2813277</t>
  </si>
  <si>
    <t>EUCU 4001012</t>
  </si>
  <si>
    <t>WIELSBEKE -&gt; OOSTROZEBEKE -&gt; Quay 869</t>
  </si>
  <si>
    <t>BE-87100000,BE-87800000,BE-87800000,BE-Q869</t>
  </si>
  <si>
    <t>ANRDUB2813293</t>
  </si>
  <si>
    <t>PVDU 1106430</t>
  </si>
  <si>
    <t>ANRDUB2813802</t>
  </si>
  <si>
    <t>EUCU 4590777</t>
  </si>
  <si>
    <t>OOSTROZEBEKE -&gt; Quay 869</t>
  </si>
  <si>
    <t>BE-87800000,BE-Q869</t>
  </si>
  <si>
    <t>ANRBEL2813878</t>
  </si>
  <si>
    <t>PVDU 1122934</t>
  </si>
  <si>
    <t>OVERPELT -&gt; Quay 869</t>
  </si>
  <si>
    <t>BE-39000000,BE-Q869</t>
  </si>
  <si>
    <t>ANRCRK2814106</t>
  </si>
  <si>
    <t>TLLU 1609050</t>
  </si>
  <si>
    <t>HAZEBROUCK -&gt; Quay 869</t>
  </si>
  <si>
    <t>FR-59190020,BE-Q869</t>
  </si>
  <si>
    <t>ANRDUB2814165</t>
  </si>
  <si>
    <t>PVDU 1111246</t>
  </si>
  <si>
    <t>ANRDUB2814180</t>
  </si>
  <si>
    <t>PVDU 1137786</t>
  </si>
  <si>
    <t>KAPELLEN -&gt; Quay 869</t>
  </si>
  <si>
    <t>BE-29500000,BE-Q869</t>
  </si>
  <si>
    <t>ANRBEL2814419</t>
  </si>
  <si>
    <t>PVDU 1135567</t>
  </si>
  <si>
    <t>TURNHOUT -&gt; Quay 869</t>
  </si>
  <si>
    <t>BE-23000000,BE-Q869</t>
  </si>
  <si>
    <t>ANRDUB2814496</t>
  </si>
  <si>
    <t>CNEU 4694178</t>
  </si>
  <si>
    <t>HOEK -&gt; Quay 869</t>
  </si>
  <si>
    <t>NL-4542,BE-Q869</t>
  </si>
  <si>
    <t>20FL</t>
  </si>
  <si>
    <t>ANRBEL2814040</t>
  </si>
  <si>
    <t>EUCU 2000378</t>
  </si>
  <si>
    <t>BEERSE -&gt; Quay 869</t>
  </si>
  <si>
    <t>BE-23400000,BE-Q869</t>
  </si>
  <si>
    <t>ANRBEL2813626</t>
  </si>
  <si>
    <t>EUCU 2000228</t>
  </si>
  <si>
    <t>LANAKEN (VELDWEZELT) -&gt; Quay 869</t>
  </si>
  <si>
    <t>BE-36200060,BE-Q869</t>
  </si>
  <si>
    <t>ANRBEL2814875</t>
  </si>
  <si>
    <t>HARNES -&gt; Quay 869</t>
  </si>
  <si>
    <t>FR-62440000,BE-Q869</t>
  </si>
  <si>
    <t>ANRDUB2815169</t>
  </si>
  <si>
    <t>CNEU 4594878</t>
  </si>
  <si>
    <t>AALTER -&gt; Quay 869</t>
  </si>
  <si>
    <t>BE-98800000,BE-Q869</t>
  </si>
  <si>
    <t>ANRBEL2811622</t>
  </si>
  <si>
    <t>EUCU 2001121</t>
  </si>
  <si>
    <t>LANKLAAR -&gt; Quay 869</t>
  </si>
  <si>
    <t>BE-36500030,BE-Q869</t>
  </si>
  <si>
    <t>16:30</t>
  </si>
  <si>
    <t>ANRDUB2812087</t>
  </si>
  <si>
    <t>EUCU 4530968</t>
  </si>
  <si>
    <t>DOURGES -&gt; Quay 869</t>
  </si>
  <si>
    <t>FR-62119000,BE-Q869</t>
  </si>
  <si>
    <t>15:30</t>
  </si>
  <si>
    <t>ANRDUB2812096</t>
  </si>
  <si>
    <t>PVDU 1110492</t>
  </si>
  <si>
    <t>ANRBEL2813028</t>
  </si>
  <si>
    <t>TLLU 1562713</t>
  </si>
  <si>
    <t>MAASBREE -&gt; Quay 869</t>
  </si>
  <si>
    <t>NL-5993,BE-Q869</t>
  </si>
  <si>
    <t>ANRBEL2813258</t>
  </si>
  <si>
    <t>CNEU 4613258</t>
  </si>
  <si>
    <t>STABROEK -&gt; Quay 869</t>
  </si>
  <si>
    <t>BE-29400000,BE-Q869</t>
  </si>
  <si>
    <t>ANRBEL2814095</t>
  </si>
  <si>
    <t>EUCU 4550368</t>
  </si>
  <si>
    <t>ANRDUB2814103</t>
  </si>
  <si>
    <t>EUCU 4561491</t>
  </si>
  <si>
    <t>ANRDUB2814105</t>
  </si>
  <si>
    <t>EUCU 4584692</t>
  </si>
  <si>
    <t>ANRDUB2814414</t>
  </si>
  <si>
    <t>ANRBEL2814613</t>
  </si>
  <si>
    <t>EUCU 4583084</t>
  </si>
  <si>
    <t>ZELE -&gt; Quay 869</t>
  </si>
  <si>
    <t>BE-92400000,BE-Q869</t>
  </si>
  <si>
    <t>20TK</t>
  </si>
  <si>
    <t>ANRDUB2814746</t>
  </si>
  <si>
    <t>AGLU 0400410</t>
  </si>
  <si>
    <t>RELEASE BECOTAC</t>
  </si>
  <si>
    <t>ANTWERPEN -&gt; Quay 869</t>
  </si>
  <si>
    <t>BE-20300000,BE-Q869</t>
  </si>
  <si>
    <t>AGLU 0400071</t>
  </si>
  <si>
    <t>ANRDUB2814809</t>
  </si>
  <si>
    <t>EUCU 4001075</t>
  </si>
  <si>
    <t>ANRDUB2814867</t>
  </si>
  <si>
    <t>EUCU 4000459</t>
  </si>
  <si>
    <t>ANRBEL2814880</t>
  </si>
  <si>
    <t>EUCU 1451295</t>
  </si>
  <si>
    <t>OOSTKAMP -&gt; Quay 869</t>
  </si>
  <si>
    <t>BE-80200000,BE-Q869</t>
  </si>
  <si>
    <t>ANRCRK2814886</t>
  </si>
  <si>
    <t>EUCU 1454859</t>
  </si>
  <si>
    <t>LILLERS -&gt; Quay 869</t>
  </si>
  <si>
    <t>FR-62190070,BE-Q869</t>
  </si>
  <si>
    <t>ANRDUB2814989</t>
  </si>
  <si>
    <t>CNEU 4699293</t>
  </si>
  <si>
    <t>AUBIGNY EN ARTOIS -&gt; Quay 869</t>
  </si>
  <si>
    <t>FR-62690010,BE-Q869</t>
  </si>
  <si>
    <t>ANRBEL2815019</t>
  </si>
  <si>
    <t>EUCU 4540903</t>
  </si>
  <si>
    <t>LOMMEL -&gt; Quay 869</t>
  </si>
  <si>
    <t>BE-39200000,BE-Q869</t>
  </si>
  <si>
    <t>ANRDUB2815030</t>
  </si>
  <si>
    <t>EUCU 1454669</t>
  </si>
  <si>
    <t>ANRDUB2815033</t>
  </si>
  <si>
    <t>EUCU 4582719</t>
  </si>
  <si>
    <t>ANRBEL2815386</t>
  </si>
  <si>
    <t>PVDU 1192295</t>
  </si>
  <si>
    <t>KLUISBERGEN -&gt; Quay 869</t>
  </si>
  <si>
    <t>BE-96900000,BE-Q869</t>
  </si>
  <si>
    <t>DUBANR2801548</t>
  </si>
  <si>
    <t>PVDU 1112788</t>
  </si>
  <si>
    <t>Quay 869 -&gt; ZEMST</t>
  </si>
  <si>
    <t>BE-Q869,BE-19800000</t>
  </si>
  <si>
    <t>DUBANR2809970</t>
  </si>
  <si>
    <t>PVDU 3020021</t>
  </si>
  <si>
    <t>DUBANR2810592</t>
  </si>
  <si>
    <t>TLLU 1077410</t>
  </si>
  <si>
    <t>DUBANR2797794</t>
  </si>
  <si>
    <t>TLLU 1610200</t>
  </si>
  <si>
    <t>Quay 869 -&gt; GENT</t>
  </si>
  <si>
    <t>BE-Q869,BE-90000000</t>
  </si>
  <si>
    <t>ANRBEL2811608</t>
  </si>
  <si>
    <t>EUCU 4000443</t>
  </si>
  <si>
    <t>DUBANR2805634</t>
  </si>
  <si>
    <t>EUCU 1453066</t>
  </si>
  <si>
    <t>14:30</t>
  </si>
  <si>
    <t>ANRDUB2812084</t>
  </si>
  <si>
    <t>EUCU 4530931</t>
  </si>
  <si>
    <t>ANRDUB2812090</t>
  </si>
  <si>
    <t>EUCU 4530546</t>
  </si>
  <si>
    <t>ANRDUB2812093</t>
  </si>
  <si>
    <t>EUCU 4551636</t>
  </si>
  <si>
    <t>DUBANR2809976</t>
  </si>
  <si>
    <t>PVDU 3018507</t>
  </si>
  <si>
    <t>Quay 869 -&gt; Kallo (Beveren)</t>
  </si>
  <si>
    <t>BE-Q869,BE-91300020</t>
  </si>
  <si>
    <t>BELANR2808538</t>
  </si>
  <si>
    <t>EUCU 1454191</t>
  </si>
  <si>
    <t>MPET 1742 -&gt; SOUMAGNE</t>
  </si>
  <si>
    <t>BE-Q1742,BE-46300000</t>
  </si>
  <si>
    <t>DUBANR2805645</t>
  </si>
  <si>
    <t>EUCU 4581862</t>
  </si>
  <si>
    <t>ANRBEL2813650</t>
  </si>
  <si>
    <t>EUCU 2000824</t>
  </si>
  <si>
    <t>ANRCRK2813872</t>
  </si>
  <si>
    <t>EUCU 5452052</t>
  </si>
  <si>
    <t>DUBANR2797795</t>
  </si>
  <si>
    <t>AGLU 0400019</t>
  </si>
  <si>
    <t>AGLU 0400240</t>
  </si>
  <si>
    <t>ANRDUB2814755</t>
  </si>
  <si>
    <t>PVDU 1121820</t>
  </si>
  <si>
    <t>ANRDUB2814836</t>
  </si>
  <si>
    <t>KERKRADE -&gt; Quay 869</t>
  </si>
  <si>
    <t>NL-6468,BE-Q869</t>
  </si>
  <si>
    <t>ANRDUB2814988</t>
  </si>
  <si>
    <t>EUCU 1450832</t>
  </si>
  <si>
    <t>ANRDUB2815060</t>
  </si>
  <si>
    <t>BOIS GRENIER -&gt; Quay 869</t>
  </si>
  <si>
    <t>FR-59280020,BE-Q869</t>
  </si>
  <si>
    <t>ANRDUB2815064</t>
  </si>
  <si>
    <t>ZEMST -&gt; Quay 869</t>
  </si>
  <si>
    <t>BE-19800000,BE-Q869</t>
  </si>
  <si>
    <t>ANRBEL2815094</t>
  </si>
  <si>
    <t>EUCU 4660088</t>
  </si>
  <si>
    <t>ANRBEL2815093</t>
  </si>
  <si>
    <t>CNEU 4692200</t>
  </si>
  <si>
    <t>ANRDUB2815117</t>
  </si>
  <si>
    <t>PVDU 1111170</t>
  </si>
  <si>
    <t>13:45</t>
  </si>
  <si>
    <t>ANRDUB2815124</t>
  </si>
  <si>
    <t>ANRBEL2815211</t>
  </si>
  <si>
    <t>EUCU 4660025</t>
  </si>
  <si>
    <t>OUPEYE -&gt; Quay 869</t>
  </si>
  <si>
    <t>BE-46810000,BE-Q869</t>
  </si>
  <si>
    <t>ANRDUB2815626</t>
  </si>
  <si>
    <t>EUCU 4516506</t>
  </si>
  <si>
    <t>WIMILLE -&gt; Quay 869</t>
  </si>
  <si>
    <t>FR-62126030,BE-Q869</t>
  </si>
  <si>
    <t>ANRDUB2815641</t>
  </si>
  <si>
    <t>EUCU 1453446</t>
  </si>
  <si>
    <t>14:35</t>
  </si>
  <si>
    <t>ANRDUB2815380</t>
  </si>
  <si>
    <t>EUCU 4580172</t>
  </si>
  <si>
    <t>13:30</t>
  </si>
  <si>
    <t>40PH</t>
  </si>
  <si>
    <t>ANRDUB2813039</t>
  </si>
  <si>
    <t>EUCU 5400275</t>
  </si>
  <si>
    <t>BE-20400000,BE-Q869</t>
  </si>
  <si>
    <t>ANRCRK2812147</t>
  </si>
  <si>
    <t>CNEU 4610080</t>
  </si>
  <si>
    <t>BE-87920000,BE-Q869</t>
  </si>
  <si>
    <t>ANRCRK2812148</t>
  </si>
  <si>
    <t>DUBANR2805639</t>
  </si>
  <si>
    <t>EUCU 5450147</t>
  </si>
  <si>
    <t>ANRDUB2813255</t>
  </si>
  <si>
    <t>EUCU 4000398</t>
  </si>
  <si>
    <t>OOSTROZEBEKE -&gt; WIELSBEKE -&gt; Quay 869</t>
  </si>
  <si>
    <t>BE-87800000,BE-87100000,BE-87100000,BE-Q869</t>
  </si>
  <si>
    <t>ANRBEL2813660</t>
  </si>
  <si>
    <t>EUCU 2000676</t>
  </si>
  <si>
    <t>ANRDUB2813825</t>
  </si>
  <si>
    <t>EUCU 4590530</t>
  </si>
  <si>
    <t>DUBANR2805625</t>
  </si>
  <si>
    <t>EUCU 4551364</t>
  </si>
  <si>
    <t>DUBANR2797796</t>
  </si>
  <si>
    <t>EUCU 5451647</t>
  </si>
  <si>
    <t>DUBANR2797797</t>
  </si>
  <si>
    <t>EUCU 4582025</t>
  </si>
  <si>
    <t>ANRBEL2815096</t>
  </si>
  <si>
    <t>PVDU 1139921</t>
  </si>
  <si>
    <t>ANRBEL2815095</t>
  </si>
  <si>
    <t>ANRBEL2815097</t>
  </si>
  <si>
    <t>ANRDUB2815202</t>
  </si>
  <si>
    <t>PVDU 1135968</t>
  </si>
  <si>
    <t>ANRDUB2815430</t>
  </si>
  <si>
    <t>EUCU 4584202</t>
  </si>
  <si>
    <t>TOUFFLERS -&gt; Quay 869</t>
  </si>
  <si>
    <t>FR-59390030,BE-Q869</t>
  </si>
  <si>
    <t>ANRBEL2815443</t>
  </si>
  <si>
    <t>CNEU 4590419</t>
  </si>
  <si>
    <t>HENIN BEAUMONT -&gt; Quay 869</t>
  </si>
  <si>
    <t>FR-62110000,BE-Q869</t>
  </si>
  <si>
    <t>ANRDUB2816023</t>
  </si>
  <si>
    <t>PVDU 1125996</t>
  </si>
  <si>
    <t>KRUISHOUTEM -&gt; Quay 869</t>
  </si>
  <si>
    <t>BE-97700000,BE-Q869</t>
  </si>
  <si>
    <t>ANRDUB2816031</t>
  </si>
  <si>
    <t>EUCU 4531199</t>
  </si>
  <si>
    <t>ANRDUB2816072</t>
  </si>
  <si>
    <t>TLLU 1610540</t>
  </si>
  <si>
    <t>GROBBENDONK -&gt; Quay 869</t>
  </si>
  <si>
    <t>BE-22800000,BE-Q869</t>
  </si>
  <si>
    <t>ANRDUB2816081</t>
  </si>
  <si>
    <t>EUCU 4561439</t>
  </si>
  <si>
    <t>ANRDUB2815603</t>
  </si>
  <si>
    <t>EUCU 4517098</t>
  </si>
  <si>
    <t>MERKSPLAS -&gt; Quay 869</t>
  </si>
  <si>
    <t>BE-23300000,BE-Q869</t>
  </si>
  <si>
    <t>ANRCRK2817219</t>
  </si>
  <si>
    <t>ROESELARE -&gt; Quay 869</t>
  </si>
  <si>
    <t>BE-88000000,BE-Q869</t>
  </si>
  <si>
    <t>Tarief</t>
  </si>
  <si>
    <t>Backload</t>
  </si>
  <si>
    <t>Maut</t>
  </si>
  <si>
    <t>Tol B</t>
  </si>
  <si>
    <t>Tol FR</t>
  </si>
  <si>
    <t>Tunnel</t>
  </si>
  <si>
    <t>Others</t>
  </si>
  <si>
    <t>EK</t>
  </si>
  <si>
    <t>Remarks</t>
  </si>
  <si>
    <t>Fuel 24%</t>
  </si>
  <si>
    <t>Sint-niklaas</t>
  </si>
  <si>
    <t>tar</t>
  </si>
  <si>
    <t>flat,tar</t>
  </si>
  <si>
    <t>EC 4219626</t>
  </si>
  <si>
    <t>DUBANR2810438</t>
  </si>
  <si>
    <t>EUCU 4580552</t>
  </si>
  <si>
    <t>Gent</t>
  </si>
  <si>
    <t>EC 4224479</t>
  </si>
  <si>
    <t>tar,EC 4226392</t>
  </si>
  <si>
    <t>flat,tar,EC 4224320</t>
  </si>
  <si>
    <t>tar,EC 4226384</t>
  </si>
  <si>
    <t>tar,EC 4224066</t>
  </si>
  <si>
    <t>ANRDUB2812770</t>
  </si>
  <si>
    <t>EC 4220981</t>
  </si>
  <si>
    <t>EC 4220982</t>
  </si>
  <si>
    <t>tar,EC 4226352</t>
  </si>
  <si>
    <t>tar,EC 4220974</t>
  </si>
  <si>
    <t>flat,tar,EC 4229650</t>
  </si>
  <si>
    <t>flat,tar,EC 4220980</t>
  </si>
  <si>
    <t>tar,EC 4219641</t>
  </si>
  <si>
    <t>flat,tar,EC 4224296</t>
  </si>
  <si>
    <t>flat,tar,EC 4220973</t>
  </si>
  <si>
    <t>flat,tar,EC 4229649</t>
  </si>
  <si>
    <t>tar,EC 4224218</t>
  </si>
  <si>
    <t>flat,tar,EC 4224231</t>
  </si>
  <si>
    <t>tar,EC 4226353</t>
  </si>
  <si>
    <t>flat,tar,EC 4224281</t>
  </si>
  <si>
    <t>tar,EC 4220979</t>
  </si>
  <si>
    <t>tar,EC 4223993</t>
  </si>
  <si>
    <t>tar,EC 4224253</t>
  </si>
  <si>
    <t>tar,EC 4226395</t>
  </si>
  <si>
    <t>tar,EC 4226351</t>
  </si>
  <si>
    <t>tar,EC 4220969</t>
  </si>
  <si>
    <t>tar,EC 4226331</t>
  </si>
  <si>
    <t>tar,EC 4226363</t>
  </si>
  <si>
    <t>tar,EC 4224269</t>
  </si>
  <si>
    <t>tar,EC 4229648</t>
  </si>
  <si>
    <t>Total</t>
  </si>
  <si>
    <t>Backloads</t>
  </si>
  <si>
    <t>Maut D</t>
  </si>
  <si>
    <t xml:space="preserve">Others </t>
  </si>
  <si>
    <t xml:space="preserve">Fuel 24% </t>
  </si>
  <si>
    <t>tar,chassis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</si>
</sst>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8" formatCode="_-[$€-2]\ * #,##0.00_-;\-[$€-2]\ * #,##0.00_-;_-[$€-2]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sz val="8"/>
      <color rgb="FF008000"/>
      <name val="Microsoft Sans Serif"/>
      <family val="2"/>
    </font>
    <font>
      <sz val="8"/>
      <color indexed="8"/>
      <name val="Microsoft Sans Serif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27">
    <xf numFmtId="0" fontId="0" fillId="0" borderId="0" xfId="0"/>
    <xf numFmtId="168" fontId="6" fillId="3" borderId="1" xfId="1" applyNumberFormat="1" applyFont="1" applyFill="1" applyBorder="1" applyAlignment="1">
      <alignment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8" fontId="6" fillId="3" borderId="1" xfId="1" applyNumberFormat="1" applyFont="1" applyFill="1" applyBorder="1" applyAlignment="1">
      <alignment horizontal="center" vertical="center"/>
    </xf>
    <xf numFmtId="0" fontId="0" fillId="0" borderId="1" xfId="0" applyBorder="1"/>
    <xf numFmtId="168" fontId="0" fillId="0" borderId="1" xfId="0" applyNumberFormat="1" applyBorder="1"/>
    <xf numFmtId="168" fontId="0" fillId="0" borderId="0" xfId="0" applyNumberFormat="1"/>
    <xf numFmtId="168" fontId="7" fillId="0" borderId="1" xfId="1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168" fontId="0" fillId="0" borderId="1" xfId="1" applyNumberFormat="1" applyFont="1" applyBorder="1"/>
    <xf numFmtId="168" fontId="8" fillId="0" borderId="0" xfId="1" applyNumberFormat="1" applyFont="1"/>
    <xf numFmtId="168" fontId="2" fillId="0" borderId="0" xfId="1" applyNumberFormat="1" applyFont="1"/>
    <xf numFmtId="168" fontId="0" fillId="0" borderId="0" xfId="1" applyNumberFormat="1" applyFont="1"/>
    <xf numFmtId="0" fontId="7" fillId="0" borderId="1" xfId="2" applyBorder="1" applyAlignment="1">
      <alignment vertical="top"/>
    </xf>
    <xf numFmtId="168" fontId="7" fillId="0" borderId="1" xfId="2" applyNumberFormat="1" applyBorder="1" applyAlignment="1">
      <alignment horizontal="center" vertical="center"/>
    </xf>
    <xf numFmtId="0" fontId="7" fillId="0" borderId="1" xfId="2" applyBorder="1" applyAlignment="1">
      <alignment vertical="center"/>
    </xf>
    <xf numFmtId="0" fontId="9" fillId="0" borderId="1" xfId="2" applyFont="1" applyBorder="1" applyAlignment="1">
      <alignment vertical="center"/>
    </xf>
  </cellXfs>
  <cellStyles count="3">
    <cellStyle name="Currency" xfId="1" builtinId="4"/>
    <cellStyle name="Normal" xfId="0" builtinId="0"/>
    <cellStyle name="Normal_Sheet1" xfId="2" xr:uid="{399224E7-E576-48B4-947E-B97134A9CB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099E-E9D6-4784-9A61-DE6864FDE5FC}">
  <dimension ref="A1:U139"/>
  <sheetViews>
    <sheetView tabSelected="1" workbookViewId="0">
      <selection activeCell="A128" sqref="A128"/>
    </sheetView>
  </sheetViews>
  <sheetFormatPr defaultRowHeight="15" x14ac:dyDescent="0.25"/>
  <cols>
    <col min="1" max="1" width="10.28515625" bestFit="1" customWidth="1"/>
    <col min="2" max="2" width="4.42578125" customWidth="1"/>
    <col min="3" max="3" width="5.140625" customWidth="1"/>
    <col min="4" max="4" width="4.85546875" customWidth="1"/>
    <col min="5" max="5" width="13.7109375" bestFit="1" customWidth="1"/>
    <col min="6" max="6" width="11.7109375" bestFit="1" customWidth="1"/>
    <col min="7" max="7" width="10.140625" customWidth="1"/>
    <col min="8" max="8" width="17.85546875" customWidth="1"/>
    <col min="9" max="9" width="7" hidden="1" customWidth="1"/>
    <col min="10" max="10" width="17.140625" customWidth="1"/>
    <col min="11" max="11" width="10.140625" customWidth="1"/>
    <col min="12" max="12" width="12" style="11" bestFit="1" customWidth="1"/>
    <col min="13" max="14" width="11" style="11" bestFit="1" customWidth="1"/>
    <col min="15" max="15" width="0" style="11" hidden="1" customWidth="1"/>
    <col min="16" max="16" width="11" style="11" bestFit="1" customWidth="1"/>
    <col min="17" max="17" width="0" style="11" hidden="1" customWidth="1"/>
    <col min="18" max="20" width="11" style="11" bestFit="1" customWidth="1"/>
    <col min="21" max="21" width="12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403</v>
      </c>
      <c r="M1" s="8" t="s">
        <v>412</v>
      </c>
      <c r="N1" s="8" t="s">
        <v>404</v>
      </c>
      <c r="O1" s="8" t="s">
        <v>405</v>
      </c>
      <c r="P1" s="8" t="s">
        <v>406</v>
      </c>
      <c r="Q1" s="8" t="s">
        <v>407</v>
      </c>
      <c r="R1" s="8" t="s">
        <v>408</v>
      </c>
      <c r="S1" s="8" t="s">
        <v>409</v>
      </c>
      <c r="T1" s="8" t="s">
        <v>410</v>
      </c>
      <c r="U1" s="8" t="s">
        <v>411</v>
      </c>
    </row>
    <row r="2" spans="1:21" x14ac:dyDescent="0.25">
      <c r="A2" s="5">
        <v>46300</v>
      </c>
      <c r="B2" s="6" t="s">
        <v>11</v>
      </c>
      <c r="C2" s="6" t="s">
        <v>12</v>
      </c>
      <c r="D2" s="6" t="s">
        <v>13</v>
      </c>
      <c r="E2" s="6" t="s">
        <v>14</v>
      </c>
      <c r="F2" s="4" t="s">
        <v>15</v>
      </c>
      <c r="G2" s="6" t="s">
        <v>16</v>
      </c>
      <c r="H2" s="6" t="s">
        <v>17</v>
      </c>
      <c r="I2" s="6">
        <v>147</v>
      </c>
      <c r="J2" s="6" t="s">
        <v>18</v>
      </c>
      <c r="K2" s="6" t="s">
        <v>19</v>
      </c>
      <c r="L2" s="10">
        <v>312</v>
      </c>
      <c r="M2" s="12">
        <f t="shared" ref="M2:M68" si="0">24%*L2</f>
        <v>74.88</v>
      </c>
      <c r="N2" s="10"/>
      <c r="O2" s="10"/>
      <c r="P2" s="10">
        <v>71.69</v>
      </c>
      <c r="Q2" s="10"/>
      <c r="R2" s="10">
        <v>36.200000000000003</v>
      </c>
      <c r="S2" s="10">
        <v>20</v>
      </c>
      <c r="T2" s="10"/>
      <c r="U2" s="9" t="s">
        <v>414</v>
      </c>
    </row>
    <row r="3" spans="1:21" x14ac:dyDescent="0.25">
      <c r="A3" s="5">
        <v>46300</v>
      </c>
      <c r="B3" s="6" t="s">
        <v>11</v>
      </c>
      <c r="C3" s="6" t="s">
        <v>20</v>
      </c>
      <c r="D3" s="6" t="s">
        <v>13</v>
      </c>
      <c r="E3" s="13" t="s">
        <v>21</v>
      </c>
      <c r="F3" s="14" t="s">
        <v>22</v>
      </c>
      <c r="G3" s="6" t="s">
        <v>16</v>
      </c>
      <c r="H3" s="6" t="s">
        <v>23</v>
      </c>
      <c r="I3" s="6">
        <v>129</v>
      </c>
      <c r="J3" s="6" t="s">
        <v>24</v>
      </c>
      <c r="K3" s="6" t="s">
        <v>25</v>
      </c>
      <c r="L3" s="10">
        <v>179.35</v>
      </c>
      <c r="M3" s="12">
        <f t="shared" si="0"/>
        <v>43.043999999999997</v>
      </c>
      <c r="N3" s="10">
        <v>50</v>
      </c>
      <c r="O3" s="10"/>
      <c r="P3" s="10">
        <v>29.75</v>
      </c>
      <c r="Q3" s="10"/>
      <c r="R3" s="10"/>
      <c r="S3" s="10"/>
      <c r="T3" s="10"/>
      <c r="U3" s="9"/>
    </row>
    <row r="4" spans="1:21" x14ac:dyDescent="0.25">
      <c r="A4" s="5">
        <v>46301</v>
      </c>
      <c r="B4" s="6" t="s">
        <v>11</v>
      </c>
      <c r="C4" s="6" t="s">
        <v>12</v>
      </c>
      <c r="D4" s="6" t="s">
        <v>13</v>
      </c>
      <c r="E4" s="13" t="s">
        <v>198</v>
      </c>
      <c r="F4" s="14" t="s">
        <v>22</v>
      </c>
      <c r="G4" s="6" t="s">
        <v>25</v>
      </c>
      <c r="H4" s="6" t="s">
        <v>199</v>
      </c>
      <c r="I4" s="6">
        <v>185</v>
      </c>
      <c r="J4" s="6" t="s">
        <v>200</v>
      </c>
      <c r="K4" s="6" t="s">
        <v>16</v>
      </c>
      <c r="L4" s="10">
        <v>235.35</v>
      </c>
      <c r="M4" s="12">
        <f t="shared" si="0"/>
        <v>56.483999999999995</v>
      </c>
      <c r="N4" s="10">
        <v>50</v>
      </c>
      <c r="O4" s="10"/>
      <c r="P4" s="10">
        <v>39.14</v>
      </c>
      <c r="Q4" s="10"/>
      <c r="R4" s="10">
        <v>36.200000000000003</v>
      </c>
      <c r="S4" s="10">
        <v>20</v>
      </c>
      <c r="T4" s="10">
        <v>27.5</v>
      </c>
      <c r="U4" s="9" t="s">
        <v>440</v>
      </c>
    </row>
    <row r="5" spans="1:21" x14ac:dyDescent="0.25">
      <c r="A5" s="5">
        <v>46300</v>
      </c>
      <c r="B5" s="6" t="s">
        <v>11</v>
      </c>
      <c r="C5" s="6" t="s">
        <v>12</v>
      </c>
      <c r="D5" s="6" t="s">
        <v>13</v>
      </c>
      <c r="E5" s="6" t="s">
        <v>26</v>
      </c>
      <c r="F5" s="7" t="s">
        <v>27</v>
      </c>
      <c r="G5" s="6" t="s">
        <v>28</v>
      </c>
      <c r="H5" s="6" t="s">
        <v>29</v>
      </c>
      <c r="I5" s="6">
        <v>49</v>
      </c>
      <c r="J5" s="6" t="s">
        <v>30</v>
      </c>
      <c r="K5" s="6" t="s">
        <v>16</v>
      </c>
      <c r="L5" s="10">
        <v>229</v>
      </c>
      <c r="M5" s="12">
        <f t="shared" si="0"/>
        <v>54.96</v>
      </c>
      <c r="N5" s="10"/>
      <c r="O5" s="10"/>
      <c r="P5" s="10">
        <v>32.19</v>
      </c>
      <c r="Q5" s="10"/>
      <c r="R5" s="10">
        <v>36.200000000000003</v>
      </c>
      <c r="S5" s="10">
        <v>20</v>
      </c>
      <c r="T5" s="10"/>
      <c r="U5" s="9" t="s">
        <v>414</v>
      </c>
    </row>
    <row r="6" spans="1:21" x14ac:dyDescent="0.25">
      <c r="A6" s="5">
        <v>46300</v>
      </c>
      <c r="B6" s="6" t="s">
        <v>11</v>
      </c>
      <c r="C6" s="6" t="s">
        <v>31</v>
      </c>
      <c r="D6" s="6" t="s">
        <v>13</v>
      </c>
      <c r="E6" s="6" t="s">
        <v>32</v>
      </c>
      <c r="F6" s="4" t="s">
        <v>33</v>
      </c>
      <c r="G6" s="6" t="s">
        <v>28</v>
      </c>
      <c r="H6" s="6" t="s">
        <v>34</v>
      </c>
      <c r="I6" s="6">
        <v>146</v>
      </c>
      <c r="J6" s="6" t="s">
        <v>35</v>
      </c>
      <c r="K6" s="6" t="s">
        <v>16</v>
      </c>
      <c r="L6" s="19">
        <v>334</v>
      </c>
      <c r="M6" s="12">
        <f t="shared" si="0"/>
        <v>80.16</v>
      </c>
      <c r="N6" s="19"/>
      <c r="O6" s="19"/>
      <c r="P6" s="19">
        <v>82.88</v>
      </c>
      <c r="Q6" s="19"/>
      <c r="R6" s="19">
        <v>36.200000000000003</v>
      </c>
      <c r="S6" s="10">
        <v>20</v>
      </c>
      <c r="T6" s="10"/>
      <c r="U6" s="9" t="s">
        <v>414</v>
      </c>
    </row>
    <row r="7" spans="1:21" x14ac:dyDescent="0.25">
      <c r="A7" s="5">
        <v>46300</v>
      </c>
      <c r="B7" s="6" t="s">
        <v>11</v>
      </c>
      <c r="C7" s="6" t="s">
        <v>36</v>
      </c>
      <c r="D7" s="6" t="s">
        <v>13</v>
      </c>
      <c r="E7" s="6" t="s">
        <v>37</v>
      </c>
      <c r="F7" s="4" t="s">
        <v>38</v>
      </c>
      <c r="G7" s="6" t="s">
        <v>28</v>
      </c>
      <c r="H7" s="6" t="s">
        <v>34</v>
      </c>
      <c r="I7" s="6">
        <v>146</v>
      </c>
      <c r="J7" s="6" t="s">
        <v>35</v>
      </c>
      <c r="K7" s="6" t="s">
        <v>16</v>
      </c>
      <c r="L7" s="19">
        <v>334</v>
      </c>
      <c r="M7" s="12">
        <f t="shared" si="0"/>
        <v>80.16</v>
      </c>
      <c r="N7" s="19"/>
      <c r="O7" s="19"/>
      <c r="P7" s="19">
        <v>82.88</v>
      </c>
      <c r="Q7" s="19"/>
      <c r="R7" s="19">
        <v>36.200000000000003</v>
      </c>
      <c r="S7" s="10">
        <v>20</v>
      </c>
      <c r="T7" s="10"/>
      <c r="U7" s="9" t="s">
        <v>414</v>
      </c>
    </row>
    <row r="8" spans="1:21" x14ac:dyDescent="0.25">
      <c r="A8" s="5">
        <v>46300</v>
      </c>
      <c r="B8" s="6" t="s">
        <v>11</v>
      </c>
      <c r="C8" s="6" t="s">
        <v>36</v>
      </c>
      <c r="D8" s="6" t="s">
        <v>13</v>
      </c>
      <c r="E8" s="6" t="s">
        <v>39</v>
      </c>
      <c r="F8" s="4" t="s">
        <v>40</v>
      </c>
      <c r="G8" s="6" t="s">
        <v>28</v>
      </c>
      <c r="H8" s="6" t="s">
        <v>41</v>
      </c>
      <c r="I8" s="6">
        <v>25</v>
      </c>
      <c r="J8" s="6" t="s">
        <v>42</v>
      </c>
      <c r="K8" s="6" t="s">
        <v>16</v>
      </c>
      <c r="L8" s="10">
        <v>170</v>
      </c>
      <c r="M8" s="12">
        <f t="shared" si="0"/>
        <v>40.799999999999997</v>
      </c>
      <c r="N8" s="10"/>
      <c r="O8" s="10"/>
      <c r="P8" s="10">
        <v>11.66</v>
      </c>
      <c r="Q8" s="10"/>
      <c r="R8" s="10"/>
      <c r="S8" s="10">
        <v>20</v>
      </c>
      <c r="T8" s="10"/>
      <c r="U8" s="9" t="s">
        <v>414</v>
      </c>
    </row>
    <row r="9" spans="1:21" x14ac:dyDescent="0.25">
      <c r="A9" s="5">
        <v>46300</v>
      </c>
      <c r="B9" s="6" t="s">
        <v>11</v>
      </c>
      <c r="C9" s="6" t="s">
        <v>43</v>
      </c>
      <c r="D9" s="6" t="s">
        <v>13</v>
      </c>
      <c r="E9" s="6" t="s">
        <v>44</v>
      </c>
      <c r="F9" s="7" t="s">
        <v>45</v>
      </c>
      <c r="G9" s="6" t="s">
        <v>28</v>
      </c>
      <c r="H9" s="6" t="s">
        <v>46</v>
      </c>
      <c r="I9" s="6">
        <v>58</v>
      </c>
      <c r="J9" s="6" t="s">
        <v>47</v>
      </c>
      <c r="K9" s="6" t="s">
        <v>16</v>
      </c>
      <c r="L9" s="10">
        <v>229</v>
      </c>
      <c r="M9" s="12">
        <f t="shared" si="0"/>
        <v>54.96</v>
      </c>
      <c r="N9" s="10"/>
      <c r="O9" s="10"/>
      <c r="P9" s="10">
        <v>31.36</v>
      </c>
      <c r="Q9" s="10"/>
      <c r="R9" s="10">
        <v>36.200000000000003</v>
      </c>
      <c r="S9" s="10">
        <v>20</v>
      </c>
      <c r="T9" s="10"/>
      <c r="U9" s="9" t="s">
        <v>414</v>
      </c>
    </row>
    <row r="10" spans="1:21" x14ac:dyDescent="0.25">
      <c r="A10" s="5">
        <v>46300</v>
      </c>
      <c r="B10" s="6" t="s">
        <v>11</v>
      </c>
      <c r="C10" s="6" t="s">
        <v>43</v>
      </c>
      <c r="D10" s="6" t="s">
        <v>13</v>
      </c>
      <c r="E10" s="6" t="s">
        <v>48</v>
      </c>
      <c r="F10" s="4" t="s">
        <v>49</v>
      </c>
      <c r="G10" s="6" t="s">
        <v>28</v>
      </c>
      <c r="H10" s="6" t="s">
        <v>50</v>
      </c>
      <c r="I10" s="6">
        <v>60</v>
      </c>
      <c r="J10" s="6" t="s">
        <v>51</v>
      </c>
      <c r="K10" s="6" t="s">
        <v>16</v>
      </c>
      <c r="L10" s="10">
        <v>229</v>
      </c>
      <c r="M10" s="12">
        <f t="shared" si="0"/>
        <v>54.96</v>
      </c>
      <c r="N10" s="10"/>
      <c r="O10" s="10"/>
      <c r="P10" s="10">
        <v>34.24</v>
      </c>
      <c r="Q10" s="10"/>
      <c r="R10" s="10"/>
      <c r="S10" s="10">
        <v>20</v>
      </c>
      <c r="T10" s="10"/>
      <c r="U10" s="9" t="s">
        <v>414</v>
      </c>
    </row>
    <row r="11" spans="1:21" x14ac:dyDescent="0.25">
      <c r="A11" s="5">
        <v>46300</v>
      </c>
      <c r="B11" s="6" t="s">
        <v>11</v>
      </c>
      <c r="C11" s="6" t="s">
        <v>12</v>
      </c>
      <c r="D11" s="6" t="s">
        <v>13</v>
      </c>
      <c r="E11" s="6" t="s">
        <v>52</v>
      </c>
      <c r="F11" s="7" t="s">
        <v>53</v>
      </c>
      <c r="G11" s="6" t="s">
        <v>28</v>
      </c>
      <c r="H11" s="6" t="s">
        <v>54</v>
      </c>
      <c r="I11" s="6">
        <v>32</v>
      </c>
      <c r="J11" s="6" t="s">
        <v>55</v>
      </c>
      <c r="K11" s="6" t="s">
        <v>16</v>
      </c>
      <c r="L11" s="10">
        <v>185</v>
      </c>
      <c r="M11" s="12">
        <f t="shared" si="0"/>
        <v>44.4</v>
      </c>
      <c r="N11" s="10"/>
      <c r="O11" s="10"/>
      <c r="P11" s="10">
        <v>11.34</v>
      </c>
      <c r="Q11" s="10"/>
      <c r="R11" s="10">
        <v>36.200000000000003</v>
      </c>
      <c r="S11" s="10">
        <v>20</v>
      </c>
      <c r="T11" s="10"/>
      <c r="U11" s="9" t="s">
        <v>414</v>
      </c>
    </row>
    <row r="12" spans="1:21" x14ac:dyDescent="0.25">
      <c r="A12" s="5">
        <v>46300</v>
      </c>
      <c r="B12" s="6" t="s">
        <v>11</v>
      </c>
      <c r="C12" s="6" t="s">
        <v>56</v>
      </c>
      <c r="D12" s="6" t="s">
        <v>13</v>
      </c>
      <c r="E12" s="6" t="s">
        <v>57</v>
      </c>
      <c r="F12" s="7" t="s">
        <v>58</v>
      </c>
      <c r="G12" s="6" t="s">
        <v>28</v>
      </c>
      <c r="H12" s="6" t="s">
        <v>59</v>
      </c>
      <c r="I12" s="6">
        <v>54</v>
      </c>
      <c r="J12" s="6" t="s">
        <v>60</v>
      </c>
      <c r="K12" s="6" t="s">
        <v>16</v>
      </c>
      <c r="L12" s="10">
        <v>205</v>
      </c>
      <c r="M12" s="12">
        <f t="shared" si="0"/>
        <v>49.199999999999996</v>
      </c>
      <c r="N12" s="10"/>
      <c r="O12" s="10"/>
      <c r="P12" s="10">
        <v>24.15</v>
      </c>
      <c r="Q12" s="10"/>
      <c r="R12" s="10">
        <v>18.100000000000001</v>
      </c>
      <c r="S12" s="10">
        <v>20</v>
      </c>
      <c r="T12" s="10"/>
      <c r="U12" s="9" t="s">
        <v>414</v>
      </c>
    </row>
    <row r="13" spans="1:21" x14ac:dyDescent="0.25">
      <c r="A13" s="5">
        <v>46300</v>
      </c>
      <c r="B13" s="6" t="s">
        <v>11</v>
      </c>
      <c r="C13" s="6" t="s">
        <v>12</v>
      </c>
      <c r="D13" s="6" t="s">
        <v>13</v>
      </c>
      <c r="E13" s="6" t="s">
        <v>61</v>
      </c>
      <c r="F13" s="4" t="s">
        <v>62</v>
      </c>
      <c r="G13" s="6" t="s">
        <v>413</v>
      </c>
      <c r="H13" s="6" t="s">
        <v>63</v>
      </c>
      <c r="I13" s="6">
        <v>117</v>
      </c>
      <c r="J13" s="6" t="s">
        <v>64</v>
      </c>
      <c r="K13" s="6" t="s">
        <v>16</v>
      </c>
      <c r="L13" s="10">
        <v>249</v>
      </c>
      <c r="M13" s="12">
        <f t="shared" si="0"/>
        <v>59.76</v>
      </c>
      <c r="N13" s="10"/>
      <c r="O13" s="10"/>
      <c r="P13" s="10">
        <v>52.29</v>
      </c>
      <c r="Q13" s="10"/>
      <c r="R13" s="10">
        <v>18.100000000000001</v>
      </c>
      <c r="S13" s="10">
        <v>20</v>
      </c>
      <c r="T13" s="10"/>
      <c r="U13" s="9" t="s">
        <v>414</v>
      </c>
    </row>
    <row r="14" spans="1:21" x14ac:dyDescent="0.25">
      <c r="A14" s="5">
        <v>46300</v>
      </c>
      <c r="B14" s="6" t="s">
        <v>11</v>
      </c>
      <c r="C14" s="6" t="s">
        <v>65</v>
      </c>
      <c r="D14" s="6" t="s">
        <v>13</v>
      </c>
      <c r="E14" s="6" t="s">
        <v>66</v>
      </c>
      <c r="F14" s="4" t="s">
        <v>67</v>
      </c>
      <c r="G14" s="6" t="s">
        <v>28</v>
      </c>
      <c r="H14" s="6" t="s">
        <v>68</v>
      </c>
      <c r="I14" s="6">
        <v>131</v>
      </c>
      <c r="J14" s="6" t="s">
        <v>69</v>
      </c>
      <c r="K14" s="6" t="s">
        <v>16</v>
      </c>
      <c r="L14" s="10">
        <v>291.5</v>
      </c>
      <c r="M14" s="12">
        <f t="shared" si="0"/>
        <v>69.959999999999994</v>
      </c>
      <c r="N14" s="10"/>
      <c r="O14" s="10"/>
      <c r="P14" s="10">
        <v>66.08</v>
      </c>
      <c r="Q14" s="10"/>
      <c r="R14" s="10">
        <v>36.200000000000003</v>
      </c>
      <c r="S14" s="10">
        <v>20</v>
      </c>
      <c r="T14" s="10"/>
      <c r="U14" s="9" t="s">
        <v>414</v>
      </c>
    </row>
    <row r="15" spans="1:21" x14ac:dyDescent="0.25">
      <c r="A15" s="5">
        <v>46300</v>
      </c>
      <c r="B15" s="6" t="s">
        <v>11</v>
      </c>
      <c r="C15" s="6" t="s">
        <v>36</v>
      </c>
      <c r="D15" s="6" t="s">
        <v>13</v>
      </c>
      <c r="E15" s="6" t="s">
        <v>70</v>
      </c>
      <c r="F15" s="7" t="s">
        <v>71</v>
      </c>
      <c r="G15" s="6" t="s">
        <v>28</v>
      </c>
      <c r="H15" s="6" t="s">
        <v>72</v>
      </c>
      <c r="I15" s="6">
        <v>57</v>
      </c>
      <c r="J15" s="6" t="s">
        <v>73</v>
      </c>
      <c r="K15" s="6" t="s">
        <v>16</v>
      </c>
      <c r="L15" s="10">
        <v>210</v>
      </c>
      <c r="M15" s="12">
        <f t="shared" si="0"/>
        <v>50.4</v>
      </c>
      <c r="N15" s="10"/>
      <c r="O15" s="10"/>
      <c r="P15" s="10">
        <v>33.04</v>
      </c>
      <c r="Q15" s="10"/>
      <c r="R15" s="10"/>
      <c r="S15" s="10">
        <v>20</v>
      </c>
      <c r="T15" s="10"/>
      <c r="U15" s="9" t="s">
        <v>414</v>
      </c>
    </row>
    <row r="16" spans="1:21" x14ac:dyDescent="0.25">
      <c r="A16" s="5">
        <v>46300</v>
      </c>
      <c r="B16" s="6" t="s">
        <v>11</v>
      </c>
      <c r="C16" s="6" t="s">
        <v>74</v>
      </c>
      <c r="D16" s="6" t="s">
        <v>13</v>
      </c>
      <c r="E16" s="6" t="s">
        <v>75</v>
      </c>
      <c r="F16" s="7" t="s">
        <v>76</v>
      </c>
      <c r="G16" s="6" t="s">
        <v>28</v>
      </c>
      <c r="H16" s="6" t="s">
        <v>72</v>
      </c>
      <c r="I16" s="6">
        <v>57</v>
      </c>
      <c r="J16" s="6" t="s">
        <v>73</v>
      </c>
      <c r="K16" s="6" t="s">
        <v>16</v>
      </c>
      <c r="L16" s="10">
        <v>210</v>
      </c>
      <c r="M16" s="12">
        <f t="shared" si="0"/>
        <v>50.4</v>
      </c>
      <c r="N16" s="10"/>
      <c r="O16" s="10"/>
      <c r="P16" s="10">
        <v>33.04</v>
      </c>
      <c r="Q16" s="10"/>
      <c r="R16" s="10"/>
      <c r="S16" s="10">
        <v>20</v>
      </c>
      <c r="T16" s="10"/>
      <c r="U16" s="9" t="s">
        <v>414</v>
      </c>
    </row>
    <row r="17" spans="1:21" x14ac:dyDescent="0.25">
      <c r="A17" s="5">
        <v>46300</v>
      </c>
      <c r="B17" s="6" t="s">
        <v>11</v>
      </c>
      <c r="C17" s="6" t="s">
        <v>77</v>
      </c>
      <c r="D17" s="6" t="s">
        <v>13</v>
      </c>
      <c r="E17" s="6" t="s">
        <v>78</v>
      </c>
      <c r="F17" s="7" t="s">
        <v>79</v>
      </c>
      <c r="G17" s="6" t="s">
        <v>28</v>
      </c>
      <c r="H17" s="6" t="s">
        <v>72</v>
      </c>
      <c r="I17" s="6">
        <v>57</v>
      </c>
      <c r="J17" s="6" t="s">
        <v>73</v>
      </c>
      <c r="K17" s="6" t="s">
        <v>16</v>
      </c>
      <c r="L17" s="10">
        <v>210</v>
      </c>
      <c r="M17" s="12">
        <f t="shared" si="0"/>
        <v>50.4</v>
      </c>
      <c r="N17" s="10"/>
      <c r="O17" s="10"/>
      <c r="P17" s="10">
        <v>33.04</v>
      </c>
      <c r="Q17" s="10"/>
      <c r="R17" s="10"/>
      <c r="S17" s="10">
        <v>20</v>
      </c>
      <c r="T17" s="10"/>
      <c r="U17" s="9" t="s">
        <v>414</v>
      </c>
    </row>
    <row r="18" spans="1:21" x14ac:dyDescent="0.25">
      <c r="A18" s="5">
        <v>46300</v>
      </c>
      <c r="B18" s="6" t="s">
        <v>11</v>
      </c>
      <c r="C18" s="6" t="s">
        <v>12</v>
      </c>
      <c r="D18" s="6" t="s">
        <v>13</v>
      </c>
      <c r="E18" s="6" t="s">
        <v>80</v>
      </c>
      <c r="F18" s="7" t="s">
        <v>81</v>
      </c>
      <c r="G18" s="6" t="s">
        <v>28</v>
      </c>
      <c r="H18" s="6" t="s">
        <v>82</v>
      </c>
      <c r="I18" s="6">
        <v>51</v>
      </c>
      <c r="J18" s="6" t="s">
        <v>83</v>
      </c>
      <c r="K18" s="6" t="s">
        <v>16</v>
      </c>
      <c r="L18" s="10">
        <v>210</v>
      </c>
      <c r="M18" s="12">
        <f t="shared" si="0"/>
        <v>50.4</v>
      </c>
      <c r="N18" s="10"/>
      <c r="O18" s="10"/>
      <c r="P18" s="10">
        <v>27.41</v>
      </c>
      <c r="Q18" s="10"/>
      <c r="R18" s="10"/>
      <c r="S18" s="10">
        <v>20</v>
      </c>
      <c r="T18" s="10"/>
      <c r="U18" s="9" t="s">
        <v>414</v>
      </c>
    </row>
    <row r="19" spans="1:21" x14ac:dyDescent="0.25">
      <c r="A19" s="5">
        <v>46300</v>
      </c>
      <c r="B19" s="6" t="s">
        <v>11</v>
      </c>
      <c r="C19" s="6" t="s">
        <v>12</v>
      </c>
      <c r="D19" s="6" t="s">
        <v>13</v>
      </c>
      <c r="E19" s="6" t="s">
        <v>84</v>
      </c>
      <c r="F19" s="7" t="s">
        <v>85</v>
      </c>
      <c r="G19" s="6" t="s">
        <v>28</v>
      </c>
      <c r="H19" s="6" t="s">
        <v>86</v>
      </c>
      <c r="I19" s="6">
        <v>11</v>
      </c>
      <c r="J19" s="6" t="s">
        <v>87</v>
      </c>
      <c r="K19" s="6" t="s">
        <v>16</v>
      </c>
      <c r="L19" s="19">
        <v>155</v>
      </c>
      <c r="M19" s="12">
        <f t="shared" si="0"/>
        <v>37.199999999999996</v>
      </c>
      <c r="N19" s="19"/>
      <c r="O19" s="19"/>
      <c r="P19" s="19">
        <v>3.24</v>
      </c>
      <c r="Q19" s="19"/>
      <c r="R19" s="19">
        <v>36.200000000000003</v>
      </c>
      <c r="S19" s="10">
        <v>20</v>
      </c>
      <c r="T19" s="10"/>
      <c r="U19" s="9" t="s">
        <v>414</v>
      </c>
    </row>
    <row r="20" spans="1:21" x14ac:dyDescent="0.25">
      <c r="A20" s="5">
        <v>46300</v>
      </c>
      <c r="B20" s="6" t="s">
        <v>11</v>
      </c>
      <c r="C20" s="6" t="s">
        <v>88</v>
      </c>
      <c r="D20" s="6" t="s">
        <v>13</v>
      </c>
      <c r="E20" s="6" t="s">
        <v>89</v>
      </c>
      <c r="F20" s="7" t="s">
        <v>90</v>
      </c>
      <c r="G20" s="6" t="s">
        <v>28</v>
      </c>
      <c r="H20" s="6" t="s">
        <v>91</v>
      </c>
      <c r="I20" s="6">
        <v>70</v>
      </c>
      <c r="J20" s="6" t="s">
        <v>92</v>
      </c>
      <c r="K20" s="6" t="s">
        <v>16</v>
      </c>
      <c r="L20" s="10">
        <v>229</v>
      </c>
      <c r="M20" s="12">
        <f t="shared" si="0"/>
        <v>54.96</v>
      </c>
      <c r="N20" s="10"/>
      <c r="O20" s="10"/>
      <c r="P20" s="10">
        <v>37.380000000000003</v>
      </c>
      <c r="Q20" s="10"/>
      <c r="R20" s="10"/>
      <c r="S20" s="10">
        <v>20</v>
      </c>
      <c r="T20" s="10">
        <v>178.75</v>
      </c>
      <c r="U20" s="9" t="s">
        <v>432</v>
      </c>
    </row>
    <row r="21" spans="1:21" x14ac:dyDescent="0.25">
      <c r="A21" s="5">
        <v>46300</v>
      </c>
      <c r="B21" s="6" t="s">
        <v>11</v>
      </c>
      <c r="C21" s="6" t="s">
        <v>93</v>
      </c>
      <c r="D21" s="6" t="s">
        <v>13</v>
      </c>
      <c r="E21" s="6" t="s">
        <v>94</v>
      </c>
      <c r="F21" s="7" t="s">
        <v>95</v>
      </c>
      <c r="G21" s="6" t="s">
        <v>28</v>
      </c>
      <c r="H21" s="6" t="s">
        <v>91</v>
      </c>
      <c r="I21" s="6">
        <v>70</v>
      </c>
      <c r="J21" s="6" t="s">
        <v>92</v>
      </c>
      <c r="K21" s="6" t="s">
        <v>16</v>
      </c>
      <c r="L21" s="10">
        <v>229</v>
      </c>
      <c r="M21" s="12">
        <f t="shared" si="0"/>
        <v>54.96</v>
      </c>
      <c r="N21" s="10"/>
      <c r="O21" s="10"/>
      <c r="P21" s="10">
        <v>37.380000000000003</v>
      </c>
      <c r="Q21" s="10"/>
      <c r="R21" s="10"/>
      <c r="S21" s="10">
        <v>20</v>
      </c>
      <c r="T21" s="10"/>
      <c r="U21" s="9" t="s">
        <v>414</v>
      </c>
    </row>
    <row r="22" spans="1:21" x14ac:dyDescent="0.25">
      <c r="A22" s="5">
        <v>46300</v>
      </c>
      <c r="B22" s="6" t="s">
        <v>11</v>
      </c>
      <c r="C22" s="6" t="s">
        <v>12</v>
      </c>
      <c r="D22" s="6" t="s">
        <v>13</v>
      </c>
      <c r="E22" s="6" t="s">
        <v>96</v>
      </c>
      <c r="F22" s="4" t="s">
        <v>97</v>
      </c>
      <c r="G22" s="6" t="s">
        <v>28</v>
      </c>
      <c r="H22" s="6" t="s">
        <v>98</v>
      </c>
      <c r="I22" s="6">
        <v>53</v>
      </c>
      <c r="J22" s="6" t="s">
        <v>99</v>
      </c>
      <c r="K22" s="6" t="s">
        <v>16</v>
      </c>
      <c r="L22" s="10">
        <v>210</v>
      </c>
      <c r="M22" s="12">
        <f t="shared" si="0"/>
        <v>50.4</v>
      </c>
      <c r="N22" s="10"/>
      <c r="O22" s="10"/>
      <c r="P22" s="10">
        <v>18.989999999999998</v>
      </c>
      <c r="Q22" s="10"/>
      <c r="R22" s="10">
        <v>36.200000000000003</v>
      </c>
      <c r="S22" s="10">
        <v>20</v>
      </c>
      <c r="T22" s="10"/>
      <c r="U22" s="9" t="s">
        <v>414</v>
      </c>
    </row>
    <row r="23" spans="1:21" x14ac:dyDescent="0.25">
      <c r="A23" s="5">
        <v>46300</v>
      </c>
      <c r="B23" s="6" t="s">
        <v>11</v>
      </c>
      <c r="C23" s="6" t="s">
        <v>100</v>
      </c>
      <c r="D23" s="6" t="s">
        <v>13</v>
      </c>
      <c r="E23" s="15" t="s">
        <v>101</v>
      </c>
      <c r="F23" s="16" t="s">
        <v>102</v>
      </c>
      <c r="G23" s="6" t="s">
        <v>16</v>
      </c>
      <c r="H23" s="6" t="s">
        <v>23</v>
      </c>
      <c r="I23" s="6">
        <v>129</v>
      </c>
      <c r="J23" s="6" t="s">
        <v>24</v>
      </c>
      <c r="K23" s="6" t="s">
        <v>25</v>
      </c>
      <c r="L23" s="10">
        <v>184</v>
      </c>
      <c r="M23" s="12">
        <f t="shared" si="0"/>
        <v>44.16</v>
      </c>
      <c r="N23" s="10">
        <v>50</v>
      </c>
      <c r="O23" s="10"/>
      <c r="P23" s="10">
        <v>36.869999999999997</v>
      </c>
      <c r="Q23" s="10"/>
      <c r="R23" s="10"/>
      <c r="S23" s="10"/>
      <c r="T23" s="10">
        <v>68.75</v>
      </c>
      <c r="U23" s="9" t="s">
        <v>416</v>
      </c>
    </row>
    <row r="24" spans="1:21" x14ac:dyDescent="0.25">
      <c r="A24" s="5">
        <v>46301</v>
      </c>
      <c r="B24" s="6" t="s">
        <v>11</v>
      </c>
      <c r="C24" s="6" t="s">
        <v>12</v>
      </c>
      <c r="D24" s="6" t="s">
        <v>13</v>
      </c>
      <c r="E24" s="15" t="s">
        <v>152</v>
      </c>
      <c r="F24" s="16" t="s">
        <v>102</v>
      </c>
      <c r="G24" s="6" t="s">
        <v>25</v>
      </c>
      <c r="H24" s="6" t="s">
        <v>153</v>
      </c>
      <c r="I24" s="6">
        <v>104</v>
      </c>
      <c r="J24" s="6" t="s">
        <v>154</v>
      </c>
      <c r="K24" s="6" t="s">
        <v>16</v>
      </c>
      <c r="L24" s="10">
        <v>158</v>
      </c>
      <c r="M24" s="12">
        <f t="shared" si="0"/>
        <v>37.92</v>
      </c>
      <c r="N24" s="10">
        <v>50</v>
      </c>
      <c r="O24" s="10"/>
      <c r="P24" s="10">
        <v>30.66</v>
      </c>
      <c r="Q24" s="10"/>
      <c r="R24" s="10">
        <v>36.200000000000003</v>
      </c>
      <c r="S24" s="10">
        <v>20</v>
      </c>
      <c r="T24" s="10">
        <v>55</v>
      </c>
      <c r="U24" s="9" t="s">
        <v>429</v>
      </c>
    </row>
    <row r="25" spans="1:21" x14ac:dyDescent="0.25">
      <c r="A25" s="5">
        <v>46300</v>
      </c>
      <c r="B25" s="6" t="s">
        <v>11</v>
      </c>
      <c r="C25" s="6" t="s">
        <v>31</v>
      </c>
      <c r="D25" s="6" t="s">
        <v>13</v>
      </c>
      <c r="E25" s="6" t="s">
        <v>103</v>
      </c>
      <c r="F25" s="4" t="s">
        <v>104</v>
      </c>
      <c r="G25" s="6" t="s">
        <v>413</v>
      </c>
      <c r="H25" s="6" t="s">
        <v>68</v>
      </c>
      <c r="I25" s="6">
        <v>131</v>
      </c>
      <c r="J25" s="6" t="s">
        <v>69</v>
      </c>
      <c r="K25" s="6" t="s">
        <v>16</v>
      </c>
      <c r="L25" s="10">
        <v>263</v>
      </c>
      <c r="M25" s="12">
        <f t="shared" si="0"/>
        <v>63.12</v>
      </c>
      <c r="N25" s="10"/>
      <c r="O25" s="10"/>
      <c r="P25" s="10">
        <v>57.39</v>
      </c>
      <c r="Q25" s="10"/>
      <c r="R25" s="10">
        <v>18.100000000000001</v>
      </c>
      <c r="S25" s="10">
        <v>20</v>
      </c>
      <c r="T25" s="10"/>
      <c r="U25" s="9" t="s">
        <v>414</v>
      </c>
    </row>
    <row r="26" spans="1:21" x14ac:dyDescent="0.25">
      <c r="A26" s="5">
        <v>46300</v>
      </c>
      <c r="B26" s="6" t="s">
        <v>11</v>
      </c>
      <c r="C26" s="6" t="s">
        <v>77</v>
      </c>
      <c r="D26" s="6" t="s">
        <v>13</v>
      </c>
      <c r="E26" s="6" t="s">
        <v>105</v>
      </c>
      <c r="F26" s="7" t="s">
        <v>106</v>
      </c>
      <c r="G26" s="6" t="s">
        <v>28</v>
      </c>
      <c r="H26" s="6" t="s">
        <v>91</v>
      </c>
      <c r="I26" s="6">
        <v>70</v>
      </c>
      <c r="J26" s="6" t="s">
        <v>92</v>
      </c>
      <c r="K26" s="6" t="s">
        <v>16</v>
      </c>
      <c r="L26" s="10">
        <v>229</v>
      </c>
      <c r="M26" s="12">
        <f t="shared" si="0"/>
        <v>54.96</v>
      </c>
      <c r="N26" s="10"/>
      <c r="O26" s="10"/>
      <c r="P26" s="10">
        <v>37.380000000000003</v>
      </c>
      <c r="Q26" s="10"/>
      <c r="R26" s="10"/>
      <c r="S26" s="10">
        <v>20</v>
      </c>
      <c r="T26" s="10"/>
      <c r="U26" s="9" t="s">
        <v>414</v>
      </c>
    </row>
    <row r="27" spans="1:21" x14ac:dyDescent="0.25">
      <c r="A27" s="5">
        <v>46300</v>
      </c>
      <c r="B27" s="6" t="s">
        <v>11</v>
      </c>
      <c r="C27" s="6" t="s">
        <v>107</v>
      </c>
      <c r="D27" s="6" t="s">
        <v>13</v>
      </c>
      <c r="E27" s="6" t="s">
        <v>108</v>
      </c>
      <c r="F27" s="4" t="s">
        <v>109</v>
      </c>
      <c r="G27" s="6" t="s">
        <v>28</v>
      </c>
      <c r="H27" s="6" t="s">
        <v>91</v>
      </c>
      <c r="I27" s="6">
        <v>70</v>
      </c>
      <c r="J27" s="6" t="s">
        <v>92</v>
      </c>
      <c r="K27" s="6" t="s">
        <v>16</v>
      </c>
      <c r="L27" s="10">
        <v>229</v>
      </c>
      <c r="M27" s="12">
        <f t="shared" si="0"/>
        <v>54.96</v>
      </c>
      <c r="N27" s="10"/>
      <c r="O27" s="10"/>
      <c r="P27" s="10">
        <v>37.380000000000003</v>
      </c>
      <c r="Q27" s="10"/>
      <c r="R27" s="10"/>
      <c r="S27" s="10">
        <v>20</v>
      </c>
      <c r="T27" s="10"/>
      <c r="U27" s="9" t="s">
        <v>414</v>
      </c>
    </row>
    <row r="28" spans="1:21" x14ac:dyDescent="0.25">
      <c r="A28" s="5">
        <v>46300</v>
      </c>
      <c r="B28" s="6" t="s">
        <v>11</v>
      </c>
      <c r="C28" s="6" t="s">
        <v>110</v>
      </c>
      <c r="D28" s="6" t="s">
        <v>13</v>
      </c>
      <c r="E28" s="6" t="s">
        <v>111</v>
      </c>
      <c r="F28" s="7" t="s">
        <v>112</v>
      </c>
      <c r="G28" s="6" t="s">
        <v>28</v>
      </c>
      <c r="H28" s="6" t="s">
        <v>91</v>
      </c>
      <c r="I28" s="6">
        <v>70</v>
      </c>
      <c r="J28" s="6" t="s">
        <v>92</v>
      </c>
      <c r="K28" s="6" t="s">
        <v>16</v>
      </c>
      <c r="L28" s="10">
        <v>229</v>
      </c>
      <c r="M28" s="12">
        <f t="shared" si="0"/>
        <v>54.96</v>
      </c>
      <c r="N28" s="10"/>
      <c r="O28" s="10"/>
      <c r="P28" s="10">
        <v>37.380000000000003</v>
      </c>
      <c r="Q28" s="10"/>
      <c r="R28" s="10"/>
      <c r="S28" s="10">
        <v>20</v>
      </c>
      <c r="T28" s="10"/>
      <c r="U28" s="9" t="s">
        <v>414</v>
      </c>
    </row>
    <row r="29" spans="1:21" x14ac:dyDescent="0.25">
      <c r="A29" s="5">
        <v>46301</v>
      </c>
      <c r="B29" s="6" t="s">
        <v>11</v>
      </c>
      <c r="C29" s="6" t="s">
        <v>12</v>
      </c>
      <c r="D29" s="6" t="s">
        <v>13</v>
      </c>
      <c r="E29" s="13" t="s">
        <v>117</v>
      </c>
      <c r="F29" s="14" t="s">
        <v>114</v>
      </c>
      <c r="G29" s="6" t="s">
        <v>16</v>
      </c>
      <c r="H29" s="6" t="s">
        <v>118</v>
      </c>
      <c r="I29" s="6">
        <v>155</v>
      </c>
      <c r="J29" s="6" t="s">
        <v>119</v>
      </c>
      <c r="K29" s="6" t="s">
        <v>25</v>
      </c>
      <c r="L29" s="10">
        <v>221</v>
      </c>
      <c r="M29" s="12">
        <f t="shared" si="0"/>
        <v>53.04</v>
      </c>
      <c r="N29" s="10">
        <v>50</v>
      </c>
      <c r="O29" s="10"/>
      <c r="P29" s="10">
        <v>49.96</v>
      </c>
      <c r="Q29" s="10"/>
      <c r="R29" s="10"/>
      <c r="S29" s="10"/>
      <c r="T29" s="10"/>
      <c r="U29" s="9"/>
    </row>
    <row r="30" spans="1:21" x14ac:dyDescent="0.25">
      <c r="A30" s="5">
        <v>46301</v>
      </c>
      <c r="B30" s="6" t="s">
        <v>11</v>
      </c>
      <c r="C30" s="6" t="s">
        <v>77</v>
      </c>
      <c r="D30" s="6" t="s">
        <v>13</v>
      </c>
      <c r="E30" s="13" t="s">
        <v>113</v>
      </c>
      <c r="F30" s="14" t="s">
        <v>114</v>
      </c>
      <c r="G30" s="6" t="s">
        <v>25</v>
      </c>
      <c r="H30" s="6" t="s">
        <v>115</v>
      </c>
      <c r="I30" s="6">
        <v>73</v>
      </c>
      <c r="J30" s="6" t="s">
        <v>116</v>
      </c>
      <c r="K30" s="6" t="s">
        <v>16</v>
      </c>
      <c r="L30" s="10">
        <v>139</v>
      </c>
      <c r="M30" s="12">
        <f t="shared" si="0"/>
        <v>33.36</v>
      </c>
      <c r="N30" s="10">
        <v>50</v>
      </c>
      <c r="O30" s="10"/>
      <c r="P30" s="10">
        <v>26.82</v>
      </c>
      <c r="Q30" s="10"/>
      <c r="R30" s="10">
        <v>18.100000000000001</v>
      </c>
      <c r="S30" s="10">
        <v>20</v>
      </c>
      <c r="T30" s="10"/>
      <c r="U30" s="9" t="s">
        <v>414</v>
      </c>
    </row>
    <row r="31" spans="1:21" x14ac:dyDescent="0.25">
      <c r="A31" s="5">
        <v>46301</v>
      </c>
      <c r="B31" s="6" t="s">
        <v>11</v>
      </c>
      <c r="C31" s="6" t="s">
        <v>65</v>
      </c>
      <c r="D31" s="6" t="s">
        <v>13</v>
      </c>
      <c r="E31" s="15" t="s">
        <v>120</v>
      </c>
      <c r="F31" s="17" t="s">
        <v>121</v>
      </c>
      <c r="G31" s="6" t="s">
        <v>16</v>
      </c>
      <c r="H31" s="6" t="s">
        <v>23</v>
      </c>
      <c r="I31" s="6">
        <v>129</v>
      </c>
      <c r="J31" s="6" t="s">
        <v>24</v>
      </c>
      <c r="K31" s="6" t="s">
        <v>25</v>
      </c>
      <c r="L31" s="10">
        <v>211</v>
      </c>
      <c r="M31" s="12">
        <f t="shared" si="0"/>
        <v>50.64</v>
      </c>
      <c r="N31" s="10">
        <v>50</v>
      </c>
      <c r="O31" s="10"/>
      <c r="P31" s="10">
        <v>44.65</v>
      </c>
      <c r="Q31" s="10"/>
      <c r="R31" s="10">
        <v>18.100000000000001</v>
      </c>
      <c r="S31" s="10"/>
      <c r="T31" s="10"/>
      <c r="U31" s="9"/>
    </row>
    <row r="32" spans="1:21" x14ac:dyDescent="0.25">
      <c r="A32" s="5">
        <v>46301</v>
      </c>
      <c r="B32" s="6" t="s">
        <v>11</v>
      </c>
      <c r="C32" s="6" t="s">
        <v>12</v>
      </c>
      <c r="D32" s="6" t="s">
        <v>13</v>
      </c>
      <c r="E32" s="15" t="s">
        <v>149</v>
      </c>
      <c r="F32" s="17" t="s">
        <v>121</v>
      </c>
      <c r="G32" s="6" t="s">
        <v>25</v>
      </c>
      <c r="H32" s="6" t="s">
        <v>150</v>
      </c>
      <c r="I32" s="6">
        <v>78</v>
      </c>
      <c r="J32" s="6" t="s">
        <v>151</v>
      </c>
      <c r="K32" s="6" t="s">
        <v>16</v>
      </c>
      <c r="L32" s="10">
        <v>159</v>
      </c>
      <c r="M32" s="12">
        <f t="shared" si="0"/>
        <v>38.159999999999997</v>
      </c>
      <c r="N32" s="10">
        <v>50</v>
      </c>
      <c r="O32" s="10"/>
      <c r="P32" s="10">
        <v>34.4</v>
      </c>
      <c r="Q32" s="10"/>
      <c r="R32" s="10"/>
      <c r="S32" s="10">
        <v>20</v>
      </c>
      <c r="T32" s="10"/>
      <c r="U32" s="9" t="s">
        <v>414</v>
      </c>
    </row>
    <row r="33" spans="1:21" x14ac:dyDescent="0.25">
      <c r="A33" s="5">
        <v>46301</v>
      </c>
      <c r="B33" s="6" t="s">
        <v>11</v>
      </c>
      <c r="C33" s="6" t="s">
        <v>122</v>
      </c>
      <c r="D33" s="6" t="s">
        <v>13</v>
      </c>
      <c r="E33" s="13" t="s">
        <v>123</v>
      </c>
      <c r="F33" s="18" t="s">
        <v>124</v>
      </c>
      <c r="G33" s="6" t="s">
        <v>125</v>
      </c>
      <c r="H33" s="6" t="s">
        <v>126</v>
      </c>
      <c r="I33" s="6">
        <v>12</v>
      </c>
      <c r="J33" s="6" t="s">
        <v>127</v>
      </c>
      <c r="K33" s="6" t="s">
        <v>25</v>
      </c>
      <c r="L33" s="10">
        <v>84</v>
      </c>
      <c r="M33" s="12">
        <f t="shared" si="0"/>
        <v>20.16</v>
      </c>
      <c r="N33" s="10">
        <v>50</v>
      </c>
      <c r="O33" s="10"/>
      <c r="P33" s="10">
        <v>7.98</v>
      </c>
      <c r="Q33" s="10"/>
      <c r="R33" s="10"/>
      <c r="S33" s="10"/>
      <c r="T33" s="10"/>
      <c r="U33" s="9"/>
    </row>
    <row r="34" spans="1:21" x14ac:dyDescent="0.25">
      <c r="A34" s="5">
        <v>46302</v>
      </c>
      <c r="B34" s="6" t="s">
        <v>11</v>
      </c>
      <c r="C34" s="6" t="s">
        <v>65</v>
      </c>
      <c r="D34" s="6" t="s">
        <v>13</v>
      </c>
      <c r="E34" s="13" t="s">
        <v>231</v>
      </c>
      <c r="F34" s="18" t="s">
        <v>124</v>
      </c>
      <c r="G34" s="6" t="s">
        <v>25</v>
      </c>
      <c r="H34" s="6" t="s">
        <v>98</v>
      </c>
      <c r="I34" s="6">
        <v>53</v>
      </c>
      <c r="J34" s="6" t="s">
        <v>99</v>
      </c>
      <c r="K34" s="6" t="s">
        <v>16</v>
      </c>
      <c r="L34" s="10">
        <v>126</v>
      </c>
      <c r="M34" s="12">
        <f t="shared" si="0"/>
        <v>30.24</v>
      </c>
      <c r="N34" s="10">
        <v>50</v>
      </c>
      <c r="O34" s="10"/>
      <c r="P34" s="10">
        <v>8.68</v>
      </c>
      <c r="Q34" s="10"/>
      <c r="R34" s="10">
        <v>36.200000000000003</v>
      </c>
      <c r="S34" s="10">
        <v>20</v>
      </c>
      <c r="T34" s="10"/>
      <c r="U34" s="9" t="s">
        <v>414</v>
      </c>
    </row>
    <row r="35" spans="1:21" x14ac:dyDescent="0.25">
      <c r="A35" s="5">
        <v>46301</v>
      </c>
      <c r="B35" s="6" t="s">
        <v>11</v>
      </c>
      <c r="C35" s="6" t="s">
        <v>36</v>
      </c>
      <c r="D35" s="6" t="s">
        <v>13</v>
      </c>
      <c r="E35" s="6" t="s">
        <v>128</v>
      </c>
      <c r="F35" s="4" t="s">
        <v>129</v>
      </c>
      <c r="G35" s="6" t="s">
        <v>28</v>
      </c>
      <c r="H35" s="6" t="s">
        <v>34</v>
      </c>
      <c r="I35" s="6">
        <v>146</v>
      </c>
      <c r="J35" s="6" t="s">
        <v>35</v>
      </c>
      <c r="K35" s="6" t="s">
        <v>16</v>
      </c>
      <c r="L35" s="19">
        <v>334</v>
      </c>
      <c r="M35" s="12">
        <f t="shared" si="0"/>
        <v>80.16</v>
      </c>
      <c r="N35" s="19"/>
      <c r="O35" s="19"/>
      <c r="P35" s="19">
        <v>82.88</v>
      </c>
      <c r="Q35" s="19"/>
      <c r="R35" s="19">
        <v>36.200000000000003</v>
      </c>
      <c r="S35" s="10">
        <v>20</v>
      </c>
      <c r="T35" s="10"/>
      <c r="U35" s="9" t="s">
        <v>414</v>
      </c>
    </row>
    <row r="36" spans="1:21" x14ac:dyDescent="0.25">
      <c r="A36" s="5">
        <v>46301</v>
      </c>
      <c r="B36" s="6" t="s">
        <v>11</v>
      </c>
      <c r="C36" s="6" t="s">
        <v>31</v>
      </c>
      <c r="D36" s="6" t="s">
        <v>13</v>
      </c>
      <c r="E36" s="6" t="s">
        <v>130</v>
      </c>
      <c r="F36" s="7" t="s">
        <v>131</v>
      </c>
      <c r="G36" s="6" t="s">
        <v>28</v>
      </c>
      <c r="H36" s="6" t="s">
        <v>34</v>
      </c>
      <c r="I36" s="6">
        <v>146</v>
      </c>
      <c r="J36" s="6" t="s">
        <v>35</v>
      </c>
      <c r="K36" s="6" t="s">
        <v>16</v>
      </c>
      <c r="L36" s="19">
        <v>334</v>
      </c>
      <c r="M36" s="12">
        <f t="shared" si="0"/>
        <v>80.16</v>
      </c>
      <c r="N36" s="19"/>
      <c r="O36" s="19"/>
      <c r="P36" s="19">
        <v>82.88</v>
      </c>
      <c r="Q36" s="19"/>
      <c r="R36" s="19">
        <v>36.200000000000003</v>
      </c>
      <c r="S36" s="10">
        <v>20</v>
      </c>
      <c r="T36" s="10"/>
      <c r="U36" s="9" t="s">
        <v>414</v>
      </c>
    </row>
    <row r="37" spans="1:21" x14ac:dyDescent="0.25">
      <c r="A37" s="5">
        <v>46301</v>
      </c>
      <c r="B37" s="6" t="s">
        <v>11</v>
      </c>
      <c r="C37" s="6" t="s">
        <v>107</v>
      </c>
      <c r="D37" s="6" t="s">
        <v>132</v>
      </c>
      <c r="E37" s="6" t="s">
        <v>133</v>
      </c>
      <c r="F37" s="7" t="s">
        <v>134</v>
      </c>
      <c r="G37" s="6" t="s">
        <v>125</v>
      </c>
      <c r="H37" s="6" t="s">
        <v>135</v>
      </c>
      <c r="I37" s="6">
        <v>48</v>
      </c>
      <c r="J37" s="6" t="s">
        <v>136</v>
      </c>
      <c r="K37" s="6" t="s">
        <v>19</v>
      </c>
      <c r="L37" s="10">
        <v>210</v>
      </c>
      <c r="M37" s="12">
        <f t="shared" si="0"/>
        <v>50.4</v>
      </c>
      <c r="N37" s="10"/>
      <c r="O37" s="10"/>
      <c r="P37" s="10">
        <v>18.989999999999998</v>
      </c>
      <c r="Q37" s="10"/>
      <c r="R37" s="10">
        <v>36.200000000000003</v>
      </c>
      <c r="S37" s="10">
        <v>20</v>
      </c>
      <c r="T37" s="10"/>
      <c r="U37" s="9" t="s">
        <v>414</v>
      </c>
    </row>
    <row r="38" spans="1:21" x14ac:dyDescent="0.25">
      <c r="A38" s="5">
        <v>46301</v>
      </c>
      <c r="B38" s="6" t="s">
        <v>11</v>
      </c>
      <c r="C38" s="6" t="s">
        <v>77</v>
      </c>
      <c r="D38" s="6" t="s">
        <v>132</v>
      </c>
      <c r="E38" s="6" t="s">
        <v>137</v>
      </c>
      <c r="F38" s="7" t="s">
        <v>138</v>
      </c>
      <c r="G38" s="6" t="s">
        <v>125</v>
      </c>
      <c r="H38" s="6" t="s">
        <v>135</v>
      </c>
      <c r="I38" s="6">
        <v>48</v>
      </c>
      <c r="J38" s="6" t="s">
        <v>136</v>
      </c>
      <c r="K38" s="6" t="s">
        <v>19</v>
      </c>
      <c r="L38" s="10">
        <v>210</v>
      </c>
      <c r="M38" s="12">
        <f t="shared" si="0"/>
        <v>50.4</v>
      </c>
      <c r="N38" s="10"/>
      <c r="O38" s="10"/>
      <c r="P38" s="10">
        <v>18.989999999999998</v>
      </c>
      <c r="Q38" s="10"/>
      <c r="R38" s="10">
        <v>36.200000000000003</v>
      </c>
      <c r="S38" s="10">
        <v>20</v>
      </c>
      <c r="T38" s="10"/>
      <c r="U38" s="9" t="s">
        <v>414</v>
      </c>
    </row>
    <row r="39" spans="1:21" x14ac:dyDescent="0.25">
      <c r="A39" s="5">
        <v>46301</v>
      </c>
      <c r="B39" s="6" t="s">
        <v>11</v>
      </c>
      <c r="C39" s="6" t="s">
        <v>139</v>
      </c>
      <c r="D39" s="13" t="s">
        <v>140</v>
      </c>
      <c r="E39" s="6" t="s">
        <v>141</v>
      </c>
      <c r="F39" s="7" t="s">
        <v>142</v>
      </c>
      <c r="G39" s="6" t="s">
        <v>28</v>
      </c>
      <c r="H39" s="6" t="s">
        <v>143</v>
      </c>
      <c r="I39" s="6">
        <v>107</v>
      </c>
      <c r="J39" s="6" t="s">
        <v>144</v>
      </c>
      <c r="K39" s="6" t="s">
        <v>16</v>
      </c>
      <c r="L39" s="10">
        <v>251</v>
      </c>
      <c r="M39" s="12">
        <f t="shared" si="0"/>
        <v>60.239999999999995</v>
      </c>
      <c r="N39" s="10"/>
      <c r="O39" s="10"/>
      <c r="P39" s="10">
        <v>53.17</v>
      </c>
      <c r="Q39" s="10"/>
      <c r="R39" s="10">
        <v>36.200000000000003</v>
      </c>
      <c r="S39" s="10">
        <v>100</v>
      </c>
      <c r="T39" s="10"/>
      <c r="U39" s="9" t="s">
        <v>415</v>
      </c>
    </row>
    <row r="40" spans="1:21" x14ac:dyDescent="0.25">
      <c r="A40" s="5">
        <v>46301</v>
      </c>
      <c r="B40" s="6" t="s">
        <v>11</v>
      </c>
      <c r="C40" s="6" t="s">
        <v>12</v>
      </c>
      <c r="D40" s="6" t="s">
        <v>13</v>
      </c>
      <c r="E40" s="6" t="s">
        <v>145</v>
      </c>
      <c r="F40" s="7" t="s">
        <v>146</v>
      </c>
      <c r="G40" s="6" t="s">
        <v>28</v>
      </c>
      <c r="H40" s="6" t="s">
        <v>147</v>
      </c>
      <c r="I40" s="6">
        <v>26</v>
      </c>
      <c r="J40" s="6" t="s">
        <v>148</v>
      </c>
      <c r="K40" s="6" t="s">
        <v>16</v>
      </c>
      <c r="L40" s="10">
        <v>170</v>
      </c>
      <c r="M40" s="12">
        <f t="shared" si="0"/>
        <v>40.799999999999997</v>
      </c>
      <c r="N40" s="10"/>
      <c r="O40" s="10"/>
      <c r="P40" s="10">
        <v>11.42</v>
      </c>
      <c r="Q40" s="10"/>
      <c r="R40" s="10"/>
      <c r="S40" s="10">
        <v>20</v>
      </c>
      <c r="T40" s="10"/>
      <c r="U40" s="9" t="s">
        <v>414</v>
      </c>
    </row>
    <row r="41" spans="1:21" x14ac:dyDescent="0.25">
      <c r="A41" s="5">
        <v>46301</v>
      </c>
      <c r="B41" s="6" t="s">
        <v>11</v>
      </c>
      <c r="C41" s="6" t="s">
        <v>155</v>
      </c>
      <c r="D41" s="13" t="s">
        <v>156</v>
      </c>
      <c r="E41" s="6" t="s">
        <v>157</v>
      </c>
      <c r="F41" s="7" t="s">
        <v>158</v>
      </c>
      <c r="G41" s="6" t="s">
        <v>28</v>
      </c>
      <c r="H41" s="6" t="s">
        <v>159</v>
      </c>
      <c r="I41" s="6">
        <v>115</v>
      </c>
      <c r="J41" s="6" t="s">
        <v>160</v>
      </c>
      <c r="K41" s="6" t="s">
        <v>16</v>
      </c>
      <c r="L41" s="10">
        <v>255</v>
      </c>
      <c r="M41" s="12">
        <f t="shared" si="0"/>
        <v>61.199999999999996</v>
      </c>
      <c r="N41" s="10"/>
      <c r="O41" s="10"/>
      <c r="P41" s="10">
        <v>53.17</v>
      </c>
      <c r="Q41" s="10"/>
      <c r="R41" s="10">
        <v>36.200000000000003</v>
      </c>
      <c r="S41" s="10">
        <v>170</v>
      </c>
      <c r="T41" s="10">
        <v>123.75</v>
      </c>
      <c r="U41" s="9" t="s">
        <v>431</v>
      </c>
    </row>
    <row r="42" spans="1:21" x14ac:dyDescent="0.25">
      <c r="A42" s="5">
        <v>46301</v>
      </c>
      <c r="B42" s="6" t="s">
        <v>11</v>
      </c>
      <c r="C42" s="6" t="s">
        <v>88</v>
      </c>
      <c r="D42" s="6" t="s">
        <v>13</v>
      </c>
      <c r="E42" s="6" t="s">
        <v>161</v>
      </c>
      <c r="F42" s="4" t="s">
        <v>162</v>
      </c>
      <c r="G42" s="6" t="s">
        <v>28</v>
      </c>
      <c r="H42" s="6" t="s">
        <v>91</v>
      </c>
      <c r="I42" s="6">
        <v>70</v>
      </c>
      <c r="J42" s="6" t="s">
        <v>92</v>
      </c>
      <c r="K42" s="6" t="s">
        <v>16</v>
      </c>
      <c r="L42" s="10">
        <v>229</v>
      </c>
      <c r="M42" s="12">
        <f t="shared" si="0"/>
        <v>54.96</v>
      </c>
      <c r="N42" s="10"/>
      <c r="O42" s="10"/>
      <c r="P42" s="10">
        <v>37.380000000000003</v>
      </c>
      <c r="Q42" s="10"/>
      <c r="R42" s="10"/>
      <c r="S42" s="10">
        <v>20</v>
      </c>
      <c r="T42" s="10"/>
      <c r="U42" s="9" t="s">
        <v>414</v>
      </c>
    </row>
    <row r="43" spans="1:21" x14ac:dyDescent="0.25">
      <c r="A43" s="5">
        <v>46301</v>
      </c>
      <c r="B43" s="6" t="s">
        <v>11</v>
      </c>
      <c r="C43" s="6" t="s">
        <v>12</v>
      </c>
      <c r="D43" s="13" t="s">
        <v>140</v>
      </c>
      <c r="E43" s="6" t="s">
        <v>163</v>
      </c>
      <c r="F43" s="7" t="s">
        <v>164</v>
      </c>
      <c r="G43" s="6" t="s">
        <v>28</v>
      </c>
      <c r="H43" s="6" t="s">
        <v>165</v>
      </c>
      <c r="I43" s="6">
        <v>111</v>
      </c>
      <c r="J43" s="6" t="s">
        <v>166</v>
      </c>
      <c r="K43" s="6" t="s">
        <v>16</v>
      </c>
      <c r="L43" s="10">
        <v>255</v>
      </c>
      <c r="M43" s="12">
        <f t="shared" si="0"/>
        <v>61.199999999999996</v>
      </c>
      <c r="N43" s="10"/>
      <c r="O43" s="10"/>
      <c r="P43" s="10">
        <v>53.17</v>
      </c>
      <c r="Q43" s="10"/>
      <c r="R43" s="10">
        <v>36.200000000000003</v>
      </c>
      <c r="S43" s="10">
        <v>100</v>
      </c>
      <c r="T43" s="10">
        <v>96.25</v>
      </c>
      <c r="U43" s="9" t="s">
        <v>434</v>
      </c>
    </row>
    <row r="44" spans="1:21" x14ac:dyDescent="0.25">
      <c r="A44" s="5">
        <v>46301</v>
      </c>
      <c r="B44" s="6" t="s">
        <v>11</v>
      </c>
      <c r="C44" s="6" t="s">
        <v>56</v>
      </c>
      <c r="D44" s="6" t="s">
        <v>13</v>
      </c>
      <c r="E44" s="6" t="s">
        <v>167</v>
      </c>
      <c r="F44" s="4" t="s">
        <v>168</v>
      </c>
      <c r="G44" s="6" t="s">
        <v>28</v>
      </c>
      <c r="H44" s="6" t="s">
        <v>169</v>
      </c>
      <c r="I44" s="6">
        <v>101</v>
      </c>
      <c r="J44" s="6" t="s">
        <v>170</v>
      </c>
      <c r="K44" s="6" t="s">
        <v>16</v>
      </c>
      <c r="L44" s="10">
        <v>249</v>
      </c>
      <c r="M44" s="12">
        <f t="shared" si="0"/>
        <v>59.76</v>
      </c>
      <c r="N44" s="10"/>
      <c r="O44" s="10"/>
      <c r="P44" s="10">
        <v>53.9</v>
      </c>
      <c r="Q44" s="10"/>
      <c r="R44" s="10"/>
      <c r="S44" s="10">
        <v>20</v>
      </c>
      <c r="T44" s="10"/>
      <c r="U44" s="9" t="s">
        <v>414</v>
      </c>
    </row>
    <row r="45" spans="1:21" x14ac:dyDescent="0.25">
      <c r="A45" s="5">
        <v>46301</v>
      </c>
      <c r="B45" s="6" t="s">
        <v>11</v>
      </c>
      <c r="C45" s="6" t="s">
        <v>110</v>
      </c>
      <c r="D45" s="6" t="s">
        <v>13</v>
      </c>
      <c r="E45" s="6" t="s">
        <v>171</v>
      </c>
      <c r="F45" s="4" t="s">
        <v>172</v>
      </c>
      <c r="G45" s="6" t="s">
        <v>28</v>
      </c>
      <c r="H45" s="6" t="s">
        <v>173</v>
      </c>
      <c r="I45" s="6">
        <v>185</v>
      </c>
      <c r="J45" s="6" t="s">
        <v>174</v>
      </c>
      <c r="K45" s="6" t="s">
        <v>16</v>
      </c>
      <c r="L45" s="10">
        <v>403.7</v>
      </c>
      <c r="M45" s="12">
        <f t="shared" si="0"/>
        <v>96.887999999999991</v>
      </c>
      <c r="N45" s="10"/>
      <c r="O45" s="10"/>
      <c r="P45" s="10">
        <v>66.08</v>
      </c>
      <c r="Q45" s="10"/>
      <c r="R45" s="10">
        <v>36.200000000000003</v>
      </c>
      <c r="S45" s="10">
        <v>20</v>
      </c>
      <c r="T45" s="10"/>
      <c r="U45" s="9" t="s">
        <v>414</v>
      </c>
    </row>
    <row r="46" spans="1:21" x14ac:dyDescent="0.25">
      <c r="A46" s="5">
        <v>46301</v>
      </c>
      <c r="B46" s="6" t="s">
        <v>11</v>
      </c>
      <c r="C46" s="6" t="s">
        <v>110</v>
      </c>
      <c r="D46" s="6" t="s">
        <v>13</v>
      </c>
      <c r="E46" s="6" t="s">
        <v>175</v>
      </c>
      <c r="F46" s="4" t="s">
        <v>176</v>
      </c>
      <c r="G46" s="6" t="s">
        <v>28</v>
      </c>
      <c r="H46" s="6" t="s">
        <v>86</v>
      </c>
      <c r="I46" s="6">
        <v>11</v>
      </c>
      <c r="J46" s="6" t="s">
        <v>87</v>
      </c>
      <c r="K46" s="6" t="s">
        <v>16</v>
      </c>
      <c r="L46" s="19">
        <v>155</v>
      </c>
      <c r="M46" s="12">
        <f t="shared" si="0"/>
        <v>37.199999999999996</v>
      </c>
      <c r="N46" s="19"/>
      <c r="O46" s="19"/>
      <c r="P46" s="19">
        <v>3.24</v>
      </c>
      <c r="Q46" s="19"/>
      <c r="R46" s="19">
        <v>36.200000000000003</v>
      </c>
      <c r="S46" s="10">
        <v>20</v>
      </c>
      <c r="T46" s="10"/>
      <c r="U46" s="9" t="s">
        <v>414</v>
      </c>
    </row>
    <row r="47" spans="1:21" x14ac:dyDescent="0.25">
      <c r="A47" s="5">
        <v>46301</v>
      </c>
      <c r="B47" s="6" t="s">
        <v>11</v>
      </c>
      <c r="C47" s="6" t="s">
        <v>12</v>
      </c>
      <c r="D47" s="6" t="s">
        <v>13</v>
      </c>
      <c r="E47" s="6" t="s">
        <v>177</v>
      </c>
      <c r="F47" s="4" t="s">
        <v>178</v>
      </c>
      <c r="G47" s="6" t="s">
        <v>28</v>
      </c>
      <c r="H47" s="6" t="s">
        <v>179</v>
      </c>
      <c r="I47" s="6">
        <v>16</v>
      </c>
      <c r="J47" s="6" t="s">
        <v>180</v>
      </c>
      <c r="K47" s="6" t="s">
        <v>16</v>
      </c>
      <c r="L47" s="10">
        <v>155</v>
      </c>
      <c r="M47" s="12">
        <f t="shared" si="0"/>
        <v>37.199999999999996</v>
      </c>
      <c r="N47" s="10"/>
      <c r="O47" s="10"/>
      <c r="P47" s="10">
        <v>5.98</v>
      </c>
      <c r="Q47" s="10"/>
      <c r="R47" s="10"/>
      <c r="S47" s="10">
        <v>20</v>
      </c>
      <c r="T47" s="10"/>
      <c r="U47" s="9" t="s">
        <v>414</v>
      </c>
    </row>
    <row r="48" spans="1:21" x14ac:dyDescent="0.25">
      <c r="A48" s="5">
        <v>46301</v>
      </c>
      <c r="B48" s="6" t="s">
        <v>11</v>
      </c>
      <c r="C48" s="6" t="s">
        <v>12</v>
      </c>
      <c r="D48" s="6" t="s">
        <v>13</v>
      </c>
      <c r="E48" s="6" t="s">
        <v>181</v>
      </c>
      <c r="F48" s="4" t="s">
        <v>182</v>
      </c>
      <c r="G48" s="6" t="s">
        <v>28</v>
      </c>
      <c r="H48" s="6" t="s">
        <v>183</v>
      </c>
      <c r="I48" s="6">
        <v>67</v>
      </c>
      <c r="J48" s="6" t="s">
        <v>184</v>
      </c>
      <c r="K48" s="6" t="s">
        <v>16</v>
      </c>
      <c r="L48" s="10">
        <v>229</v>
      </c>
      <c r="M48" s="12">
        <f t="shared" si="0"/>
        <v>54.96</v>
      </c>
      <c r="N48" s="10"/>
      <c r="O48" s="10"/>
      <c r="P48" s="10">
        <v>35.1</v>
      </c>
      <c r="Q48" s="10"/>
      <c r="R48" s="10"/>
      <c r="S48" s="10">
        <v>20</v>
      </c>
      <c r="T48" s="10"/>
      <c r="U48" s="9" t="s">
        <v>414</v>
      </c>
    </row>
    <row r="49" spans="1:21" x14ac:dyDescent="0.25">
      <c r="A49" s="5">
        <v>46301</v>
      </c>
      <c r="B49" s="6" t="s">
        <v>11</v>
      </c>
      <c r="C49" s="6" t="s">
        <v>65</v>
      </c>
      <c r="D49" s="6" t="s">
        <v>13</v>
      </c>
      <c r="E49" s="6" t="s">
        <v>185</v>
      </c>
      <c r="F49" s="4" t="s">
        <v>186</v>
      </c>
      <c r="G49" s="6" t="s">
        <v>28</v>
      </c>
      <c r="H49" s="6" t="s">
        <v>187</v>
      </c>
      <c r="I49" s="6">
        <v>67</v>
      </c>
      <c r="J49" s="6" t="s">
        <v>188</v>
      </c>
      <c r="K49" s="6" t="s">
        <v>16</v>
      </c>
      <c r="L49" s="10">
        <v>229</v>
      </c>
      <c r="M49" s="12">
        <f t="shared" si="0"/>
        <v>54.96</v>
      </c>
      <c r="N49" s="10"/>
      <c r="O49" s="10"/>
      <c r="P49" s="10">
        <v>22.31</v>
      </c>
      <c r="Q49" s="10"/>
      <c r="R49" s="10">
        <v>36.200000000000003</v>
      </c>
      <c r="S49" s="10">
        <v>20</v>
      </c>
      <c r="T49" s="10"/>
      <c r="U49" s="9" t="s">
        <v>414</v>
      </c>
    </row>
    <row r="50" spans="1:21" x14ac:dyDescent="0.25">
      <c r="A50" s="5">
        <v>46301</v>
      </c>
      <c r="B50" s="6" t="s">
        <v>11</v>
      </c>
      <c r="C50" s="6" t="s">
        <v>12</v>
      </c>
      <c r="D50" s="13" t="s">
        <v>189</v>
      </c>
      <c r="E50" s="6" t="s">
        <v>190</v>
      </c>
      <c r="F50" s="7" t="s">
        <v>191</v>
      </c>
      <c r="G50" s="6" t="s">
        <v>28</v>
      </c>
      <c r="H50" s="6" t="s">
        <v>192</v>
      </c>
      <c r="I50" s="6">
        <v>62</v>
      </c>
      <c r="J50" s="6" t="s">
        <v>193</v>
      </c>
      <c r="K50" s="6" t="s">
        <v>16</v>
      </c>
      <c r="L50" s="19">
        <v>229</v>
      </c>
      <c r="M50" s="12">
        <f t="shared" si="0"/>
        <v>54.96</v>
      </c>
      <c r="N50" s="19"/>
      <c r="O50" s="19"/>
      <c r="P50" s="19">
        <v>31.94</v>
      </c>
      <c r="Q50" s="10"/>
      <c r="R50" s="10"/>
      <c r="S50" s="10">
        <v>100</v>
      </c>
      <c r="T50" s="10"/>
      <c r="U50" s="9" t="s">
        <v>415</v>
      </c>
    </row>
    <row r="51" spans="1:21" x14ac:dyDescent="0.25">
      <c r="A51" s="5">
        <v>46301</v>
      </c>
      <c r="B51" s="6" t="s">
        <v>11</v>
      </c>
      <c r="C51" s="6" t="s">
        <v>12</v>
      </c>
      <c r="D51" s="13" t="s">
        <v>189</v>
      </c>
      <c r="E51" s="6" t="s">
        <v>194</v>
      </c>
      <c r="F51" s="7" t="s">
        <v>195</v>
      </c>
      <c r="G51" s="6" t="s">
        <v>28</v>
      </c>
      <c r="H51" s="6" t="s">
        <v>196</v>
      </c>
      <c r="I51" s="6">
        <v>124</v>
      </c>
      <c r="J51" s="6" t="s">
        <v>197</v>
      </c>
      <c r="K51" s="6" t="s">
        <v>16</v>
      </c>
      <c r="L51" s="10">
        <v>280</v>
      </c>
      <c r="M51" s="12">
        <f t="shared" si="0"/>
        <v>67.2</v>
      </c>
      <c r="N51" s="10"/>
      <c r="O51" s="10"/>
      <c r="P51" s="10">
        <v>67.52</v>
      </c>
      <c r="Q51" s="10"/>
      <c r="R51" s="10"/>
      <c r="S51" s="10">
        <v>100</v>
      </c>
      <c r="T51" s="10"/>
      <c r="U51" s="9" t="s">
        <v>415</v>
      </c>
    </row>
    <row r="52" spans="1:21" x14ac:dyDescent="0.25">
      <c r="A52" s="5">
        <v>46301</v>
      </c>
      <c r="B52" s="6" t="s">
        <v>11</v>
      </c>
      <c r="C52" s="6" t="s">
        <v>93</v>
      </c>
      <c r="D52" s="6" t="s">
        <v>13</v>
      </c>
      <c r="E52" s="6" t="s">
        <v>201</v>
      </c>
      <c r="F52" s="4" t="s">
        <v>202</v>
      </c>
      <c r="G52" s="6" t="s">
        <v>28</v>
      </c>
      <c r="H52" s="6" t="s">
        <v>203</v>
      </c>
      <c r="I52" s="6">
        <v>97</v>
      </c>
      <c r="J52" s="6" t="s">
        <v>204</v>
      </c>
      <c r="K52" s="6" t="s">
        <v>16</v>
      </c>
      <c r="L52" s="19">
        <v>249</v>
      </c>
      <c r="M52" s="12">
        <f t="shared" si="0"/>
        <v>59.76</v>
      </c>
      <c r="N52" s="19"/>
      <c r="O52" s="19"/>
      <c r="P52" s="19">
        <v>50.45</v>
      </c>
      <c r="Q52" s="19"/>
      <c r="R52" s="19">
        <v>36.200000000000003</v>
      </c>
      <c r="S52" s="10">
        <v>20</v>
      </c>
      <c r="T52" s="10">
        <v>25</v>
      </c>
      <c r="U52" s="9" t="s">
        <v>445</v>
      </c>
    </row>
    <row r="53" spans="1:21" s="2" customFormat="1" x14ac:dyDescent="0.25">
      <c r="A53" s="5">
        <v>46301</v>
      </c>
      <c r="B53" s="6" t="s">
        <v>11</v>
      </c>
      <c r="C53" s="6"/>
      <c r="D53" s="6"/>
      <c r="E53" s="6" t="s">
        <v>425</v>
      </c>
      <c r="F53" s="4"/>
      <c r="G53" s="6"/>
      <c r="H53" s="6" t="s">
        <v>68</v>
      </c>
      <c r="I53" s="6"/>
      <c r="J53" s="6"/>
      <c r="K53" s="6"/>
      <c r="L53" s="19"/>
      <c r="M53" s="12"/>
      <c r="N53" s="19"/>
      <c r="O53" s="19"/>
      <c r="P53" s="19"/>
      <c r="Q53" s="19"/>
      <c r="R53" s="19"/>
      <c r="S53" s="10"/>
      <c r="T53" s="10">
        <v>110</v>
      </c>
      <c r="U53" s="9" t="s">
        <v>426</v>
      </c>
    </row>
    <row r="54" spans="1:21" s="2" customFormat="1" x14ac:dyDescent="0.25">
      <c r="A54" s="5">
        <v>46301</v>
      </c>
      <c r="B54" s="6" t="s">
        <v>11</v>
      </c>
      <c r="C54" s="6"/>
      <c r="D54" s="6"/>
      <c r="E54" s="6" t="s">
        <v>425</v>
      </c>
      <c r="F54" s="4"/>
      <c r="G54" s="6"/>
      <c r="H54" s="6" t="s">
        <v>68</v>
      </c>
      <c r="I54" s="6"/>
      <c r="J54" s="6"/>
      <c r="K54" s="6"/>
      <c r="L54" s="19"/>
      <c r="M54" s="12"/>
      <c r="N54" s="19"/>
      <c r="O54" s="19"/>
      <c r="P54" s="19"/>
      <c r="Q54" s="19"/>
      <c r="R54" s="19"/>
      <c r="S54" s="10"/>
      <c r="T54" s="10">
        <v>70</v>
      </c>
      <c r="U54" s="9" t="s">
        <v>427</v>
      </c>
    </row>
    <row r="55" spans="1:21" x14ac:dyDescent="0.25">
      <c r="A55" s="5">
        <v>46302</v>
      </c>
      <c r="B55" s="6" t="s">
        <v>11</v>
      </c>
      <c r="C55" s="6" t="s">
        <v>12</v>
      </c>
      <c r="D55" s="13" t="s">
        <v>189</v>
      </c>
      <c r="E55" s="6" t="s">
        <v>205</v>
      </c>
      <c r="F55" s="7" t="s">
        <v>206</v>
      </c>
      <c r="G55" s="6" t="s">
        <v>28</v>
      </c>
      <c r="H55" s="6" t="s">
        <v>207</v>
      </c>
      <c r="I55" s="6">
        <v>127</v>
      </c>
      <c r="J55" s="6" t="s">
        <v>208</v>
      </c>
      <c r="K55" s="6" t="s">
        <v>16</v>
      </c>
      <c r="L55" s="19">
        <v>280</v>
      </c>
      <c r="M55" s="12">
        <f t="shared" si="0"/>
        <v>67.2</v>
      </c>
      <c r="N55" s="19"/>
      <c r="O55" s="19"/>
      <c r="P55" s="19">
        <v>69.13</v>
      </c>
      <c r="Q55" s="10"/>
      <c r="R55" s="10"/>
      <c r="S55" s="10">
        <v>100</v>
      </c>
      <c r="T55" s="10"/>
      <c r="U55" s="9" t="s">
        <v>415</v>
      </c>
    </row>
    <row r="56" spans="1:21" x14ac:dyDescent="0.25">
      <c r="A56" s="5">
        <v>46302</v>
      </c>
      <c r="B56" s="6" t="s">
        <v>11</v>
      </c>
      <c r="C56" s="6" t="s">
        <v>209</v>
      </c>
      <c r="D56" s="6" t="s">
        <v>13</v>
      </c>
      <c r="E56" s="6" t="s">
        <v>210</v>
      </c>
      <c r="F56" s="7" t="s">
        <v>211</v>
      </c>
      <c r="G56" s="6" t="s">
        <v>28</v>
      </c>
      <c r="H56" s="6" t="s">
        <v>212</v>
      </c>
      <c r="I56" s="6">
        <v>181</v>
      </c>
      <c r="J56" s="6" t="s">
        <v>213</v>
      </c>
      <c r="K56" s="6" t="s">
        <v>16</v>
      </c>
      <c r="L56" s="19">
        <v>388.3</v>
      </c>
      <c r="M56" s="12">
        <f t="shared" si="0"/>
        <v>93.191999999999993</v>
      </c>
      <c r="N56" s="19"/>
      <c r="O56" s="19"/>
      <c r="P56" s="19">
        <v>70.53</v>
      </c>
      <c r="Q56" s="19"/>
      <c r="R56" s="19">
        <v>36.200000000000003</v>
      </c>
      <c r="S56" s="10">
        <v>20</v>
      </c>
      <c r="T56" s="10"/>
      <c r="U56" s="9" t="s">
        <v>414</v>
      </c>
    </row>
    <row r="57" spans="1:21" x14ac:dyDescent="0.25">
      <c r="A57" s="5">
        <v>46302</v>
      </c>
      <c r="B57" s="6" t="s">
        <v>11</v>
      </c>
      <c r="C57" s="6" t="s">
        <v>214</v>
      </c>
      <c r="D57" s="6" t="s">
        <v>13</v>
      </c>
      <c r="E57" s="6" t="s">
        <v>215</v>
      </c>
      <c r="F57" s="4" t="s">
        <v>216</v>
      </c>
      <c r="G57" s="6" t="s">
        <v>28</v>
      </c>
      <c r="H57" s="6" t="s">
        <v>212</v>
      </c>
      <c r="I57" s="6">
        <v>181</v>
      </c>
      <c r="J57" s="6" t="s">
        <v>213</v>
      </c>
      <c r="K57" s="6" t="s">
        <v>16</v>
      </c>
      <c r="L57" s="19">
        <v>388.3</v>
      </c>
      <c r="M57" s="12">
        <f t="shared" si="0"/>
        <v>93.191999999999993</v>
      </c>
      <c r="N57" s="19"/>
      <c r="O57" s="19"/>
      <c r="P57" s="19">
        <v>70.53</v>
      </c>
      <c r="Q57" s="19"/>
      <c r="R57" s="19">
        <v>36.200000000000003</v>
      </c>
      <c r="S57" s="10">
        <v>20</v>
      </c>
      <c r="T57" s="10"/>
      <c r="U57" s="9" t="s">
        <v>414</v>
      </c>
    </row>
    <row r="58" spans="1:21" x14ac:dyDescent="0.25">
      <c r="A58" s="5">
        <v>46302</v>
      </c>
      <c r="B58" s="6" t="s">
        <v>11</v>
      </c>
      <c r="C58" s="6" t="s">
        <v>31</v>
      </c>
      <c r="D58" s="6" t="s">
        <v>13</v>
      </c>
      <c r="E58" s="6" t="s">
        <v>217</v>
      </c>
      <c r="F58" s="4" t="s">
        <v>218</v>
      </c>
      <c r="G58" s="6" t="s">
        <v>28</v>
      </c>
      <c r="H58" s="6" t="s">
        <v>219</v>
      </c>
      <c r="I58" s="6">
        <v>147</v>
      </c>
      <c r="J58" s="6" t="s">
        <v>220</v>
      </c>
      <c r="K58" s="6" t="s">
        <v>16</v>
      </c>
      <c r="L58" s="10">
        <v>334</v>
      </c>
      <c r="M58" s="12">
        <f t="shared" si="0"/>
        <v>80.16</v>
      </c>
      <c r="N58" s="10"/>
      <c r="O58" s="10"/>
      <c r="P58" s="10">
        <v>69.8</v>
      </c>
      <c r="Q58" s="10"/>
      <c r="R58" s="10"/>
      <c r="S58" s="10">
        <v>20</v>
      </c>
      <c r="T58" s="10"/>
      <c r="U58" s="9" t="s">
        <v>414</v>
      </c>
    </row>
    <row r="59" spans="1:21" x14ac:dyDescent="0.25">
      <c r="A59" s="5">
        <v>46302</v>
      </c>
      <c r="B59" s="6" t="s">
        <v>11</v>
      </c>
      <c r="C59" s="6" t="s">
        <v>43</v>
      </c>
      <c r="D59" s="6" t="s">
        <v>13</v>
      </c>
      <c r="E59" s="6" t="s">
        <v>221</v>
      </c>
      <c r="F59" s="4" t="s">
        <v>222</v>
      </c>
      <c r="G59" s="6" t="s">
        <v>28</v>
      </c>
      <c r="H59" s="6" t="s">
        <v>223</v>
      </c>
      <c r="I59" s="6">
        <v>11</v>
      </c>
      <c r="J59" s="6" t="s">
        <v>224</v>
      </c>
      <c r="K59" s="6" t="s">
        <v>16</v>
      </c>
      <c r="L59" s="10">
        <v>155</v>
      </c>
      <c r="M59" s="12">
        <f t="shared" si="0"/>
        <v>37.199999999999996</v>
      </c>
      <c r="N59" s="10"/>
      <c r="O59" s="10"/>
      <c r="P59" s="10">
        <v>5.0199999999999996</v>
      </c>
      <c r="Q59" s="10"/>
      <c r="R59" s="10"/>
      <c r="S59" s="10">
        <v>20</v>
      </c>
      <c r="T59" s="10"/>
      <c r="U59" s="9" t="s">
        <v>414</v>
      </c>
    </row>
    <row r="60" spans="1:21" x14ac:dyDescent="0.25">
      <c r="A60" s="5">
        <v>46302</v>
      </c>
      <c r="B60" s="6" t="s">
        <v>11</v>
      </c>
      <c r="C60" s="6" t="s">
        <v>12</v>
      </c>
      <c r="D60" s="6" t="s">
        <v>13</v>
      </c>
      <c r="E60" s="6" t="s">
        <v>225</v>
      </c>
      <c r="F60" s="7" t="s">
        <v>226</v>
      </c>
      <c r="G60" s="6" t="s">
        <v>28</v>
      </c>
      <c r="H60" s="6" t="s">
        <v>46</v>
      </c>
      <c r="I60" s="6">
        <v>58</v>
      </c>
      <c r="J60" s="6" t="s">
        <v>47</v>
      </c>
      <c r="K60" s="6" t="s">
        <v>16</v>
      </c>
      <c r="L60" s="10">
        <v>229</v>
      </c>
      <c r="M60" s="12">
        <f t="shared" si="0"/>
        <v>54.96</v>
      </c>
      <c r="N60" s="10"/>
      <c r="O60" s="10"/>
      <c r="P60" s="10">
        <v>31.36</v>
      </c>
      <c r="Q60" s="10"/>
      <c r="R60" s="10">
        <v>36.200000000000003</v>
      </c>
      <c r="S60" s="10">
        <v>20</v>
      </c>
      <c r="T60" s="10"/>
      <c r="U60" s="9" t="s">
        <v>414</v>
      </c>
    </row>
    <row r="61" spans="1:21" x14ac:dyDescent="0.25">
      <c r="A61" s="5">
        <v>46302</v>
      </c>
      <c r="B61" s="6" t="s">
        <v>11</v>
      </c>
      <c r="C61" s="6" t="s">
        <v>12</v>
      </c>
      <c r="D61" s="6" t="s">
        <v>13</v>
      </c>
      <c r="E61" s="6" t="s">
        <v>227</v>
      </c>
      <c r="F61" s="7" t="s">
        <v>228</v>
      </c>
      <c r="G61" s="6" t="s">
        <v>28</v>
      </c>
      <c r="H61" s="6" t="s">
        <v>46</v>
      </c>
      <c r="I61" s="6">
        <v>58</v>
      </c>
      <c r="J61" s="6" t="s">
        <v>47</v>
      </c>
      <c r="K61" s="6" t="s">
        <v>16</v>
      </c>
      <c r="L61" s="10">
        <v>229</v>
      </c>
      <c r="M61" s="12">
        <f t="shared" si="0"/>
        <v>54.96</v>
      </c>
      <c r="N61" s="10"/>
      <c r="O61" s="10"/>
      <c r="P61" s="10">
        <v>31.36</v>
      </c>
      <c r="Q61" s="10"/>
      <c r="R61" s="10">
        <v>36.200000000000003</v>
      </c>
      <c r="S61" s="10">
        <v>20</v>
      </c>
      <c r="T61" s="10"/>
      <c r="U61" s="9" t="s">
        <v>414</v>
      </c>
    </row>
    <row r="62" spans="1:21" x14ac:dyDescent="0.25">
      <c r="A62" s="5">
        <v>46302</v>
      </c>
      <c r="B62" s="6" t="s">
        <v>11</v>
      </c>
      <c r="C62" s="6" t="s">
        <v>12</v>
      </c>
      <c r="D62" s="6" t="s">
        <v>13</v>
      </c>
      <c r="E62" s="6" t="s">
        <v>229</v>
      </c>
      <c r="F62" s="7" t="s">
        <v>230</v>
      </c>
      <c r="G62" s="6" t="s">
        <v>28</v>
      </c>
      <c r="H62" s="6" t="s">
        <v>46</v>
      </c>
      <c r="I62" s="6">
        <v>58</v>
      </c>
      <c r="J62" s="6" t="s">
        <v>47</v>
      </c>
      <c r="K62" s="6" t="s">
        <v>16</v>
      </c>
      <c r="L62" s="10">
        <v>229</v>
      </c>
      <c r="M62" s="12">
        <f t="shared" si="0"/>
        <v>54.96</v>
      </c>
      <c r="N62" s="10"/>
      <c r="O62" s="10"/>
      <c r="P62" s="10">
        <v>31.36</v>
      </c>
      <c r="Q62" s="10"/>
      <c r="R62" s="10">
        <v>36.200000000000003</v>
      </c>
      <c r="S62" s="10">
        <v>20</v>
      </c>
      <c r="T62" s="10"/>
      <c r="U62" s="9" t="s">
        <v>414</v>
      </c>
    </row>
    <row r="63" spans="1:21" x14ac:dyDescent="0.25">
      <c r="A63" s="5">
        <v>46302</v>
      </c>
      <c r="B63" s="6" t="s">
        <v>11</v>
      </c>
      <c r="C63" s="6" t="s">
        <v>65</v>
      </c>
      <c r="D63" s="6" t="s">
        <v>13</v>
      </c>
      <c r="E63" s="6" t="s">
        <v>232</v>
      </c>
      <c r="F63" s="7" t="s">
        <v>233</v>
      </c>
      <c r="G63" s="6" t="s">
        <v>28</v>
      </c>
      <c r="H63" s="6" t="s">
        <v>234</v>
      </c>
      <c r="I63" s="6">
        <v>52</v>
      </c>
      <c r="J63" s="6" t="s">
        <v>235</v>
      </c>
      <c r="K63" s="6" t="s">
        <v>16</v>
      </c>
      <c r="L63" s="10">
        <v>210</v>
      </c>
      <c r="M63" s="12">
        <f t="shared" si="0"/>
        <v>50.4</v>
      </c>
      <c r="N63" s="10"/>
      <c r="O63" s="10"/>
      <c r="P63" s="10">
        <v>25.72</v>
      </c>
      <c r="Q63" s="10"/>
      <c r="R63" s="10">
        <v>36.200000000000003</v>
      </c>
      <c r="S63" s="10">
        <v>20</v>
      </c>
      <c r="T63" s="10">
        <v>27.5</v>
      </c>
      <c r="U63" s="9" t="s">
        <v>436</v>
      </c>
    </row>
    <row r="64" spans="1:21" x14ac:dyDescent="0.25">
      <c r="A64" s="5">
        <v>46302</v>
      </c>
      <c r="B64" s="6" t="s">
        <v>11</v>
      </c>
      <c r="C64" s="6" t="s">
        <v>12</v>
      </c>
      <c r="D64" s="6" t="s">
        <v>236</v>
      </c>
      <c r="E64" s="6" t="s">
        <v>237</v>
      </c>
      <c r="F64" s="4" t="s">
        <v>238</v>
      </c>
      <c r="G64" s="6" t="s">
        <v>239</v>
      </c>
      <c r="H64" s="6" t="s">
        <v>240</v>
      </c>
      <c r="I64" s="6">
        <v>25</v>
      </c>
      <c r="J64" s="6" t="s">
        <v>241</v>
      </c>
      <c r="K64" s="6" t="s">
        <v>16</v>
      </c>
      <c r="L64" s="19">
        <v>85</v>
      </c>
      <c r="M64" s="12">
        <f t="shared" si="0"/>
        <v>20.399999999999999</v>
      </c>
      <c r="N64" s="19"/>
      <c r="O64" s="19"/>
      <c r="P64" s="19">
        <v>3.72</v>
      </c>
      <c r="Q64" s="19"/>
      <c r="R64" s="19"/>
      <c r="S64" s="19">
        <v>10</v>
      </c>
      <c r="T64" s="19"/>
      <c r="U64" s="9" t="s">
        <v>414</v>
      </c>
    </row>
    <row r="65" spans="1:21" x14ac:dyDescent="0.25">
      <c r="A65" s="5">
        <v>46302</v>
      </c>
      <c r="B65" s="6" t="s">
        <v>11</v>
      </c>
      <c r="C65" s="6" t="s">
        <v>12</v>
      </c>
      <c r="D65" s="6" t="s">
        <v>236</v>
      </c>
      <c r="E65" s="6" t="s">
        <v>237</v>
      </c>
      <c r="F65" s="4" t="s">
        <v>242</v>
      </c>
      <c r="G65" s="6" t="s">
        <v>239</v>
      </c>
      <c r="H65" s="6" t="s">
        <v>240</v>
      </c>
      <c r="I65" s="6">
        <v>25</v>
      </c>
      <c r="J65" s="6" t="s">
        <v>241</v>
      </c>
      <c r="K65" s="6" t="s">
        <v>16</v>
      </c>
      <c r="L65" s="19">
        <v>85</v>
      </c>
      <c r="M65" s="12">
        <f t="shared" si="0"/>
        <v>20.399999999999999</v>
      </c>
      <c r="N65" s="19"/>
      <c r="O65" s="19"/>
      <c r="P65" s="19">
        <v>3.72</v>
      </c>
      <c r="Q65" s="19"/>
      <c r="R65" s="19"/>
      <c r="S65" s="19">
        <v>10</v>
      </c>
      <c r="T65" s="19"/>
      <c r="U65" s="9" t="s">
        <v>414</v>
      </c>
    </row>
    <row r="66" spans="1:21" x14ac:dyDescent="0.25">
      <c r="A66" s="5">
        <v>46302</v>
      </c>
      <c r="B66" s="6" t="s">
        <v>11</v>
      </c>
      <c r="C66" s="6" t="s">
        <v>12</v>
      </c>
      <c r="D66" s="13" t="s">
        <v>156</v>
      </c>
      <c r="E66" s="6" t="s">
        <v>243</v>
      </c>
      <c r="F66" s="7" t="s">
        <v>244</v>
      </c>
      <c r="G66" s="6" t="s">
        <v>28</v>
      </c>
      <c r="H66" s="6" t="s">
        <v>165</v>
      </c>
      <c r="I66" s="6">
        <v>111</v>
      </c>
      <c r="J66" s="6" t="s">
        <v>166</v>
      </c>
      <c r="K66" s="6" t="s">
        <v>16</v>
      </c>
      <c r="L66" s="10">
        <v>255</v>
      </c>
      <c r="M66" s="12">
        <f t="shared" si="0"/>
        <v>61.199999999999996</v>
      </c>
      <c r="N66" s="10"/>
      <c r="O66" s="10"/>
      <c r="P66" s="10">
        <v>53.17</v>
      </c>
      <c r="Q66" s="10"/>
      <c r="R66" s="10">
        <v>36.200000000000003</v>
      </c>
      <c r="S66" s="10">
        <v>100</v>
      </c>
      <c r="T66" s="10">
        <v>82.5</v>
      </c>
      <c r="U66" s="9" t="s">
        <v>437</v>
      </c>
    </row>
    <row r="67" spans="1:21" x14ac:dyDescent="0.25">
      <c r="A67" s="5">
        <v>46302</v>
      </c>
      <c r="B67" s="6" t="s">
        <v>11</v>
      </c>
      <c r="C67" s="6" t="s">
        <v>93</v>
      </c>
      <c r="D67" s="13" t="s">
        <v>156</v>
      </c>
      <c r="E67" s="6" t="s">
        <v>245</v>
      </c>
      <c r="F67" s="7" t="s">
        <v>246</v>
      </c>
      <c r="G67" s="6" t="s">
        <v>28</v>
      </c>
      <c r="H67" s="6" t="s">
        <v>165</v>
      </c>
      <c r="I67" s="6">
        <v>111</v>
      </c>
      <c r="J67" s="6" t="s">
        <v>166</v>
      </c>
      <c r="K67" s="6" t="s">
        <v>16</v>
      </c>
      <c r="L67" s="10">
        <v>255</v>
      </c>
      <c r="M67" s="12">
        <f t="shared" si="0"/>
        <v>61.199999999999996</v>
      </c>
      <c r="N67" s="10"/>
      <c r="O67" s="10"/>
      <c r="P67" s="10">
        <v>53.17</v>
      </c>
      <c r="Q67" s="10"/>
      <c r="R67" s="10">
        <v>36.200000000000003</v>
      </c>
      <c r="S67" s="10">
        <v>100</v>
      </c>
      <c r="T67" s="10">
        <v>55</v>
      </c>
      <c r="U67" s="9" t="s">
        <v>439</v>
      </c>
    </row>
    <row r="68" spans="1:21" x14ac:dyDescent="0.25">
      <c r="A68" s="5">
        <v>46302</v>
      </c>
      <c r="B68" s="6" t="s">
        <v>11</v>
      </c>
      <c r="C68" s="6" t="s">
        <v>65</v>
      </c>
      <c r="D68" s="6" t="s">
        <v>13</v>
      </c>
      <c r="E68" s="6" t="s">
        <v>247</v>
      </c>
      <c r="F68" s="7" t="s">
        <v>248</v>
      </c>
      <c r="G68" s="6" t="s">
        <v>28</v>
      </c>
      <c r="H68" s="6" t="s">
        <v>249</v>
      </c>
      <c r="I68" s="6">
        <v>112</v>
      </c>
      <c r="J68" s="6" t="s">
        <v>250</v>
      </c>
      <c r="K68" s="6" t="s">
        <v>16</v>
      </c>
      <c r="L68" s="10">
        <v>255</v>
      </c>
      <c r="M68" s="12">
        <f t="shared" si="0"/>
        <v>61.199999999999996</v>
      </c>
      <c r="N68" s="10"/>
      <c r="O68" s="10"/>
      <c r="P68" s="10">
        <v>59.63</v>
      </c>
      <c r="Q68" s="10"/>
      <c r="R68" s="10">
        <v>36.200000000000003</v>
      </c>
      <c r="S68" s="10">
        <v>20</v>
      </c>
      <c r="T68" s="10">
        <v>41.25</v>
      </c>
      <c r="U68" s="9" t="s">
        <v>441</v>
      </c>
    </row>
    <row r="69" spans="1:21" x14ac:dyDescent="0.25">
      <c r="A69" s="5">
        <v>46302</v>
      </c>
      <c r="B69" s="6" t="s">
        <v>11</v>
      </c>
      <c r="C69" s="6" t="s">
        <v>74</v>
      </c>
      <c r="D69" s="6" t="s">
        <v>13</v>
      </c>
      <c r="E69" s="6" t="s">
        <v>251</v>
      </c>
      <c r="F69" s="7" t="s">
        <v>252</v>
      </c>
      <c r="G69" s="6" t="s">
        <v>28</v>
      </c>
      <c r="H69" s="6" t="s">
        <v>253</v>
      </c>
      <c r="I69" s="6">
        <v>211</v>
      </c>
      <c r="J69" s="6" t="s">
        <v>254</v>
      </c>
      <c r="K69" s="6" t="s">
        <v>16</v>
      </c>
      <c r="L69" s="10">
        <v>469.7</v>
      </c>
      <c r="M69" s="12">
        <f t="shared" ref="M69:M106" si="1">24%*L69</f>
        <v>112.72799999999999</v>
      </c>
      <c r="N69" s="10"/>
      <c r="O69" s="10"/>
      <c r="P69" s="10">
        <v>112.78</v>
      </c>
      <c r="Q69" s="10"/>
      <c r="R69" s="10">
        <v>36.200000000000003</v>
      </c>
      <c r="S69" s="10">
        <v>20</v>
      </c>
      <c r="T69" s="10">
        <v>27.5</v>
      </c>
      <c r="U69" s="9" t="s">
        <v>442</v>
      </c>
    </row>
    <row r="70" spans="1:21" x14ac:dyDescent="0.25">
      <c r="A70" s="5">
        <v>46302</v>
      </c>
      <c r="B70" s="6" t="s">
        <v>11</v>
      </c>
      <c r="C70" s="6" t="s">
        <v>12</v>
      </c>
      <c r="D70" s="6" t="s">
        <v>13</v>
      </c>
      <c r="E70" s="6" t="s">
        <v>255</v>
      </c>
      <c r="F70" s="4" t="s">
        <v>256</v>
      </c>
      <c r="G70" s="6" t="s">
        <v>28</v>
      </c>
      <c r="H70" s="6" t="s">
        <v>257</v>
      </c>
      <c r="I70" s="6">
        <v>200</v>
      </c>
      <c r="J70" s="6" t="s">
        <v>258</v>
      </c>
      <c r="K70" s="6" t="s">
        <v>16</v>
      </c>
      <c r="L70" s="10">
        <v>473</v>
      </c>
      <c r="M70" s="12">
        <f t="shared" si="1"/>
        <v>113.52</v>
      </c>
      <c r="N70" s="10"/>
      <c r="O70" s="10"/>
      <c r="P70" s="10">
        <v>70.53</v>
      </c>
      <c r="Q70" s="10"/>
      <c r="R70" s="10">
        <v>36.200000000000003</v>
      </c>
      <c r="S70" s="10">
        <v>20</v>
      </c>
      <c r="T70" s="10"/>
      <c r="U70" s="9" t="s">
        <v>414</v>
      </c>
    </row>
    <row r="71" spans="1:21" x14ac:dyDescent="0.25">
      <c r="A71" s="5">
        <v>46302</v>
      </c>
      <c r="B71" s="6" t="s">
        <v>11</v>
      </c>
      <c r="C71" s="6" t="s">
        <v>31</v>
      </c>
      <c r="D71" s="6" t="s">
        <v>13</v>
      </c>
      <c r="E71" s="6" t="s">
        <v>259</v>
      </c>
      <c r="F71" s="7" t="s">
        <v>260</v>
      </c>
      <c r="G71" s="6" t="s">
        <v>28</v>
      </c>
      <c r="H71" s="6" t="s">
        <v>261</v>
      </c>
      <c r="I71" s="6">
        <v>93</v>
      </c>
      <c r="J71" s="6" t="s">
        <v>262</v>
      </c>
      <c r="K71" s="6" t="s">
        <v>16</v>
      </c>
      <c r="L71" s="10">
        <v>249</v>
      </c>
      <c r="M71" s="12">
        <f t="shared" si="1"/>
        <v>59.76</v>
      </c>
      <c r="N71" s="10"/>
      <c r="O71" s="10"/>
      <c r="P71" s="10">
        <v>50.9</v>
      </c>
      <c r="Q71" s="10"/>
      <c r="R71" s="10"/>
      <c r="S71" s="10">
        <v>20</v>
      </c>
      <c r="T71" s="10"/>
      <c r="U71" s="9" t="s">
        <v>414</v>
      </c>
    </row>
    <row r="72" spans="1:21" x14ac:dyDescent="0.25">
      <c r="A72" s="5">
        <v>46302</v>
      </c>
      <c r="B72" s="6" t="s">
        <v>11</v>
      </c>
      <c r="C72" s="6" t="s">
        <v>12</v>
      </c>
      <c r="D72" s="6" t="s">
        <v>13</v>
      </c>
      <c r="E72" s="6" t="s">
        <v>263</v>
      </c>
      <c r="F72" s="7" t="s">
        <v>264</v>
      </c>
      <c r="G72" s="6" t="s">
        <v>28</v>
      </c>
      <c r="H72" s="6" t="s">
        <v>82</v>
      </c>
      <c r="I72" s="6">
        <v>51</v>
      </c>
      <c r="J72" s="6" t="s">
        <v>83</v>
      </c>
      <c r="K72" s="6" t="s">
        <v>16</v>
      </c>
      <c r="L72" s="10">
        <v>210</v>
      </c>
      <c r="M72" s="12">
        <f t="shared" si="1"/>
        <v>50.4</v>
      </c>
      <c r="N72" s="10"/>
      <c r="O72" s="10"/>
      <c r="P72" s="10">
        <v>27.41</v>
      </c>
      <c r="Q72" s="10"/>
      <c r="R72" s="10"/>
      <c r="S72" s="10">
        <v>20</v>
      </c>
      <c r="T72" s="10"/>
      <c r="U72" s="9" t="s">
        <v>414</v>
      </c>
    </row>
    <row r="73" spans="1:21" x14ac:dyDescent="0.25">
      <c r="A73" s="5">
        <v>46302</v>
      </c>
      <c r="B73" s="6" t="s">
        <v>11</v>
      </c>
      <c r="C73" s="6" t="s">
        <v>110</v>
      </c>
      <c r="D73" s="6" t="s">
        <v>13</v>
      </c>
      <c r="E73" s="6" t="s">
        <v>265</v>
      </c>
      <c r="F73" s="7" t="s">
        <v>266</v>
      </c>
      <c r="G73" s="6" t="s">
        <v>28</v>
      </c>
      <c r="H73" s="6" t="s">
        <v>91</v>
      </c>
      <c r="I73" s="6">
        <v>70</v>
      </c>
      <c r="J73" s="6" t="s">
        <v>92</v>
      </c>
      <c r="K73" s="6" t="s">
        <v>16</v>
      </c>
      <c r="L73" s="10">
        <v>229</v>
      </c>
      <c r="M73" s="12">
        <f t="shared" si="1"/>
        <v>54.96</v>
      </c>
      <c r="N73" s="10"/>
      <c r="O73" s="10"/>
      <c r="P73" s="10">
        <v>37.380000000000003</v>
      </c>
      <c r="Q73" s="10"/>
      <c r="R73" s="10"/>
      <c r="S73" s="10">
        <v>20</v>
      </c>
      <c r="T73" s="10"/>
      <c r="U73" s="9" t="s">
        <v>414</v>
      </c>
    </row>
    <row r="74" spans="1:21" x14ac:dyDescent="0.25">
      <c r="A74" s="5">
        <v>46302</v>
      </c>
      <c r="B74" s="6" t="s">
        <v>11</v>
      </c>
      <c r="C74" s="6" t="s">
        <v>56</v>
      </c>
      <c r="D74" s="6" t="s">
        <v>13</v>
      </c>
      <c r="E74" s="6" t="s">
        <v>267</v>
      </c>
      <c r="F74" s="4" t="s">
        <v>268</v>
      </c>
      <c r="G74" s="6" t="s">
        <v>28</v>
      </c>
      <c r="H74" s="6" t="s">
        <v>269</v>
      </c>
      <c r="I74" s="6">
        <v>105</v>
      </c>
      <c r="J74" s="6" t="s">
        <v>270</v>
      </c>
      <c r="K74" s="6" t="s">
        <v>16</v>
      </c>
      <c r="L74" s="10">
        <v>251</v>
      </c>
      <c r="M74" s="12">
        <f t="shared" si="1"/>
        <v>60.239999999999995</v>
      </c>
      <c r="N74" s="10"/>
      <c r="O74" s="10"/>
      <c r="P74" s="10">
        <v>56.32</v>
      </c>
      <c r="Q74" s="10"/>
      <c r="R74" s="10">
        <v>36.200000000000003</v>
      </c>
      <c r="S74" s="10">
        <v>20</v>
      </c>
      <c r="T74" s="10">
        <v>27.5</v>
      </c>
      <c r="U74" s="9" t="s">
        <v>448</v>
      </c>
    </row>
    <row r="75" spans="1:21" x14ac:dyDescent="0.25">
      <c r="A75" s="5">
        <v>46303</v>
      </c>
      <c r="B75" s="6" t="s">
        <v>11</v>
      </c>
      <c r="C75" s="6" t="s">
        <v>107</v>
      </c>
      <c r="D75" s="6" t="s">
        <v>13</v>
      </c>
      <c r="E75" s="15" t="s">
        <v>271</v>
      </c>
      <c r="F75" s="16" t="s">
        <v>272</v>
      </c>
      <c r="G75" s="6" t="s">
        <v>16</v>
      </c>
      <c r="H75" s="6" t="s">
        <v>273</v>
      </c>
      <c r="I75" s="6">
        <v>55</v>
      </c>
      <c r="J75" s="6" t="s">
        <v>274</v>
      </c>
      <c r="K75" s="6" t="s">
        <v>25</v>
      </c>
      <c r="L75" s="19">
        <v>105</v>
      </c>
      <c r="M75" s="12">
        <f t="shared" si="1"/>
        <v>25.2</v>
      </c>
      <c r="N75" s="19">
        <v>50</v>
      </c>
      <c r="O75" s="19"/>
      <c r="P75" s="19">
        <v>14.27</v>
      </c>
      <c r="Q75" s="19"/>
      <c r="R75" s="19"/>
      <c r="S75" s="10"/>
      <c r="T75" s="10"/>
      <c r="U75" s="9"/>
    </row>
    <row r="76" spans="1:21" x14ac:dyDescent="0.25">
      <c r="A76" s="5">
        <v>46303</v>
      </c>
      <c r="B76" s="6" t="s">
        <v>11</v>
      </c>
      <c r="C76" s="6" t="s">
        <v>107</v>
      </c>
      <c r="D76" s="6" t="s">
        <v>13</v>
      </c>
      <c r="E76" s="15" t="s">
        <v>321</v>
      </c>
      <c r="F76" s="16" t="s">
        <v>272</v>
      </c>
      <c r="G76" s="6" t="s">
        <v>25</v>
      </c>
      <c r="H76" s="6" t="s">
        <v>322</v>
      </c>
      <c r="I76" s="6">
        <v>56</v>
      </c>
      <c r="J76" s="6" t="s">
        <v>323</v>
      </c>
      <c r="K76" s="6" t="s">
        <v>16</v>
      </c>
      <c r="L76" s="19">
        <v>105</v>
      </c>
      <c r="M76" s="12">
        <f t="shared" si="1"/>
        <v>25.2</v>
      </c>
      <c r="N76" s="19">
        <v>50</v>
      </c>
      <c r="O76" s="19"/>
      <c r="P76" s="19">
        <v>14.28</v>
      </c>
      <c r="Q76" s="19"/>
      <c r="R76" s="19">
        <v>18.100000000000001</v>
      </c>
      <c r="S76" s="10">
        <v>20</v>
      </c>
      <c r="T76" s="10"/>
      <c r="U76" s="9" t="s">
        <v>414</v>
      </c>
    </row>
    <row r="77" spans="1:21" x14ac:dyDescent="0.25">
      <c r="A77" s="5">
        <v>46303</v>
      </c>
      <c r="B77" s="6" t="s">
        <v>11</v>
      </c>
      <c r="C77" s="6" t="s">
        <v>100</v>
      </c>
      <c r="D77" s="6" t="s">
        <v>132</v>
      </c>
      <c r="E77" s="6" t="s">
        <v>275</v>
      </c>
      <c r="F77" s="4" t="s">
        <v>276</v>
      </c>
      <c r="G77" s="6" t="s">
        <v>16</v>
      </c>
      <c r="H77" s="6" t="s">
        <v>23</v>
      </c>
      <c r="I77" s="6">
        <v>129</v>
      </c>
      <c r="J77" s="6" t="s">
        <v>24</v>
      </c>
      <c r="K77" s="6" t="s">
        <v>19</v>
      </c>
      <c r="L77" s="10">
        <v>255</v>
      </c>
      <c r="M77" s="12">
        <f t="shared" si="1"/>
        <v>61.199999999999996</v>
      </c>
      <c r="N77" s="10"/>
      <c r="O77" s="10"/>
      <c r="P77" s="10">
        <v>46.18</v>
      </c>
      <c r="Q77" s="10"/>
      <c r="R77" s="10">
        <v>36.200000000000003</v>
      </c>
      <c r="S77" s="10">
        <v>270</v>
      </c>
      <c r="T77" s="10"/>
      <c r="U77" s="9" t="s">
        <v>455</v>
      </c>
    </row>
    <row r="78" spans="1:21" x14ac:dyDescent="0.25">
      <c r="A78" s="5">
        <v>46303</v>
      </c>
      <c r="B78" s="6" t="s">
        <v>11</v>
      </c>
      <c r="C78" s="6" t="s">
        <v>20</v>
      </c>
      <c r="D78" s="6" t="s">
        <v>132</v>
      </c>
      <c r="E78" s="6" t="s">
        <v>277</v>
      </c>
      <c r="F78" s="4" t="s">
        <v>278</v>
      </c>
      <c r="G78" s="6" t="s">
        <v>16</v>
      </c>
      <c r="H78" s="6" t="s">
        <v>23</v>
      </c>
      <c r="I78" s="6">
        <v>129</v>
      </c>
      <c r="J78" s="6" t="s">
        <v>24</v>
      </c>
      <c r="K78" s="6" t="s">
        <v>19</v>
      </c>
      <c r="L78" s="10">
        <v>255</v>
      </c>
      <c r="M78" s="12">
        <f t="shared" si="1"/>
        <v>61.199999999999996</v>
      </c>
      <c r="N78" s="10"/>
      <c r="O78" s="10"/>
      <c r="P78" s="10">
        <v>46.18</v>
      </c>
      <c r="Q78" s="10"/>
      <c r="R78" s="10">
        <v>36.200000000000003</v>
      </c>
      <c r="S78" s="10">
        <v>20</v>
      </c>
      <c r="T78" s="10">
        <v>137.5</v>
      </c>
      <c r="U78" s="9" t="s">
        <v>421</v>
      </c>
    </row>
    <row r="79" spans="1:21" x14ac:dyDescent="0.25">
      <c r="A79" s="5">
        <v>46303</v>
      </c>
      <c r="B79" s="6" t="s">
        <v>11</v>
      </c>
      <c r="C79" s="6" t="s">
        <v>65</v>
      </c>
      <c r="D79" s="6" t="s">
        <v>13</v>
      </c>
      <c r="E79" s="13" t="s">
        <v>279</v>
      </c>
      <c r="F79" s="18" t="s">
        <v>280</v>
      </c>
      <c r="G79" s="6" t="s">
        <v>16</v>
      </c>
      <c r="H79" s="6" t="s">
        <v>281</v>
      </c>
      <c r="I79" s="6">
        <v>64</v>
      </c>
      <c r="J79" s="6" t="s">
        <v>282</v>
      </c>
      <c r="K79" s="6" t="s">
        <v>25</v>
      </c>
      <c r="L79" s="10">
        <v>127.9</v>
      </c>
      <c r="M79" s="12">
        <f t="shared" si="1"/>
        <v>30.696000000000002</v>
      </c>
      <c r="N79" s="10">
        <v>50</v>
      </c>
      <c r="O79" s="10"/>
      <c r="P79" s="10">
        <v>20.51</v>
      </c>
      <c r="Q79" s="10"/>
      <c r="R79" s="10"/>
      <c r="S79" s="10"/>
      <c r="T79" s="10"/>
      <c r="U79" s="9"/>
    </row>
    <row r="80" spans="1:21" x14ac:dyDescent="0.25">
      <c r="A80" s="5">
        <v>46303</v>
      </c>
      <c r="B80" s="6" t="s">
        <v>11</v>
      </c>
      <c r="C80" s="6" t="s">
        <v>74</v>
      </c>
      <c r="D80" s="6" t="s">
        <v>13</v>
      </c>
      <c r="E80" s="13" t="s">
        <v>318</v>
      </c>
      <c r="F80" s="18" t="s">
        <v>280</v>
      </c>
      <c r="G80" s="6" t="s">
        <v>25</v>
      </c>
      <c r="H80" s="6" t="s">
        <v>319</v>
      </c>
      <c r="I80" s="6">
        <v>158</v>
      </c>
      <c r="J80" s="6" t="s">
        <v>320</v>
      </c>
      <c r="K80" s="6" t="s">
        <v>16</v>
      </c>
      <c r="L80" s="10">
        <v>221.9</v>
      </c>
      <c r="M80" s="12">
        <f t="shared" si="1"/>
        <v>53.256</v>
      </c>
      <c r="N80" s="10">
        <v>50</v>
      </c>
      <c r="O80" s="10"/>
      <c r="P80" s="10">
        <v>45.88</v>
      </c>
      <c r="Q80" s="10"/>
      <c r="R80" s="10">
        <v>36.200000000000003</v>
      </c>
      <c r="S80" s="10">
        <v>20</v>
      </c>
      <c r="T80" s="10">
        <v>68.75</v>
      </c>
      <c r="U80" s="9" t="s">
        <v>443</v>
      </c>
    </row>
    <row r="81" spans="1:21" x14ac:dyDescent="0.25">
      <c r="A81" s="5">
        <v>46303</v>
      </c>
      <c r="B81" s="6" t="s">
        <v>11</v>
      </c>
      <c r="C81" s="6" t="s">
        <v>12</v>
      </c>
      <c r="D81" s="13" t="s">
        <v>156</v>
      </c>
      <c r="E81" s="6" t="s">
        <v>283</v>
      </c>
      <c r="F81" s="7" t="s">
        <v>284</v>
      </c>
      <c r="G81" s="6" t="s">
        <v>28</v>
      </c>
      <c r="H81" s="6" t="s">
        <v>207</v>
      </c>
      <c r="I81" s="6">
        <v>127</v>
      </c>
      <c r="J81" s="6" t="s">
        <v>208</v>
      </c>
      <c r="K81" s="6" t="s">
        <v>16</v>
      </c>
      <c r="L81" s="19">
        <v>280</v>
      </c>
      <c r="M81" s="12">
        <f t="shared" si="1"/>
        <v>67.2</v>
      </c>
      <c r="N81" s="19"/>
      <c r="O81" s="19"/>
      <c r="P81" s="19">
        <v>69.13</v>
      </c>
      <c r="Q81" s="10"/>
      <c r="R81" s="10"/>
      <c r="S81" s="10">
        <v>100</v>
      </c>
      <c r="T81" s="10">
        <v>41.25</v>
      </c>
      <c r="U81" s="9" t="s">
        <v>422</v>
      </c>
    </row>
    <row r="82" spans="1:21" x14ac:dyDescent="0.25">
      <c r="A82" s="5">
        <v>46303</v>
      </c>
      <c r="B82" s="6" t="s">
        <v>11</v>
      </c>
      <c r="C82" s="6" t="s">
        <v>31</v>
      </c>
      <c r="D82" s="6" t="s">
        <v>13</v>
      </c>
      <c r="E82" s="15" t="s">
        <v>285</v>
      </c>
      <c r="F82" s="17" t="s">
        <v>286</v>
      </c>
      <c r="G82" s="6" t="s">
        <v>16</v>
      </c>
      <c r="H82" s="6" t="s">
        <v>23</v>
      </c>
      <c r="I82" s="6">
        <v>129</v>
      </c>
      <c r="J82" s="6" t="s">
        <v>24</v>
      </c>
      <c r="K82" s="6" t="s">
        <v>25</v>
      </c>
      <c r="L82" s="10">
        <v>252.3</v>
      </c>
      <c r="M82" s="12">
        <f t="shared" si="1"/>
        <v>60.552</v>
      </c>
      <c r="N82" s="10">
        <v>50</v>
      </c>
      <c r="O82" s="10"/>
      <c r="P82" s="10">
        <v>51.27</v>
      </c>
      <c r="Q82" s="10"/>
      <c r="R82" s="10">
        <v>18.100000000000001</v>
      </c>
      <c r="S82" s="10"/>
      <c r="T82" s="10"/>
      <c r="U82" s="9"/>
    </row>
    <row r="83" spans="1:21" x14ac:dyDescent="0.25">
      <c r="A83" s="5">
        <v>46303</v>
      </c>
      <c r="B83" s="6" t="s">
        <v>11</v>
      </c>
      <c r="C83" s="6" t="s">
        <v>43</v>
      </c>
      <c r="D83" s="6" t="s">
        <v>13</v>
      </c>
      <c r="E83" s="15" t="s">
        <v>313</v>
      </c>
      <c r="F83" s="17" t="s">
        <v>286</v>
      </c>
      <c r="G83" s="6" t="s">
        <v>25</v>
      </c>
      <c r="H83" s="6" t="s">
        <v>314</v>
      </c>
      <c r="I83" s="6">
        <v>159</v>
      </c>
      <c r="J83" s="6" t="s">
        <v>315</v>
      </c>
      <c r="K83" s="6" t="s">
        <v>16</v>
      </c>
      <c r="L83" s="10">
        <v>282.3</v>
      </c>
      <c r="M83" s="12">
        <f t="shared" si="1"/>
        <v>67.751999999999995</v>
      </c>
      <c r="N83" s="10">
        <v>50</v>
      </c>
      <c r="O83" s="10"/>
      <c r="P83" s="10">
        <v>64.28</v>
      </c>
      <c r="Q83" s="10"/>
      <c r="R83" s="10"/>
      <c r="S83" s="10">
        <v>20</v>
      </c>
      <c r="T83" s="10">
        <v>27.5</v>
      </c>
      <c r="U83" s="9" t="s">
        <v>438</v>
      </c>
    </row>
    <row r="84" spans="1:21" x14ac:dyDescent="0.25">
      <c r="A84" s="5">
        <v>46303</v>
      </c>
      <c r="B84" s="6" t="s">
        <v>11</v>
      </c>
      <c r="C84" s="6" t="s">
        <v>287</v>
      </c>
      <c r="D84" s="6" t="s">
        <v>13</v>
      </c>
      <c r="E84" s="6" t="s">
        <v>288</v>
      </c>
      <c r="F84" s="7" t="s">
        <v>289</v>
      </c>
      <c r="G84" s="6" t="s">
        <v>28</v>
      </c>
      <c r="H84" s="6" t="s">
        <v>212</v>
      </c>
      <c r="I84" s="6">
        <v>181</v>
      </c>
      <c r="J84" s="6" t="s">
        <v>213</v>
      </c>
      <c r="K84" s="6" t="s">
        <v>16</v>
      </c>
      <c r="L84" s="19">
        <v>388.3</v>
      </c>
      <c r="M84" s="12">
        <f t="shared" si="1"/>
        <v>93.191999999999993</v>
      </c>
      <c r="N84" s="19"/>
      <c r="O84" s="19"/>
      <c r="P84" s="19">
        <v>70.53</v>
      </c>
      <c r="Q84" s="19"/>
      <c r="R84" s="19">
        <v>36.200000000000003</v>
      </c>
      <c r="S84" s="10">
        <v>20</v>
      </c>
      <c r="T84" s="10"/>
      <c r="U84" s="9" t="s">
        <v>414</v>
      </c>
    </row>
    <row r="85" spans="1:21" x14ac:dyDescent="0.25">
      <c r="A85" s="5">
        <v>46303</v>
      </c>
      <c r="B85" s="6" t="s">
        <v>11</v>
      </c>
      <c r="C85" s="6" t="s">
        <v>155</v>
      </c>
      <c r="D85" s="6" t="s">
        <v>13</v>
      </c>
      <c r="E85" s="6" t="s">
        <v>290</v>
      </c>
      <c r="F85" s="7" t="s">
        <v>291</v>
      </c>
      <c r="G85" s="6" t="s">
        <v>28</v>
      </c>
      <c r="H85" s="6" t="s">
        <v>212</v>
      </c>
      <c r="I85" s="6">
        <v>181</v>
      </c>
      <c r="J85" s="6" t="s">
        <v>213</v>
      </c>
      <c r="K85" s="6" t="s">
        <v>16</v>
      </c>
      <c r="L85" s="19">
        <v>388.3</v>
      </c>
      <c r="M85" s="12">
        <f t="shared" si="1"/>
        <v>93.191999999999993</v>
      </c>
      <c r="N85" s="19"/>
      <c r="O85" s="19"/>
      <c r="P85" s="19">
        <v>70.53</v>
      </c>
      <c r="Q85" s="19"/>
      <c r="R85" s="19">
        <v>36.200000000000003</v>
      </c>
      <c r="S85" s="10">
        <v>20</v>
      </c>
      <c r="T85" s="10">
        <v>27.5</v>
      </c>
      <c r="U85" s="9" t="s">
        <v>423</v>
      </c>
    </row>
    <row r="86" spans="1:21" x14ac:dyDescent="0.25">
      <c r="A86" s="5">
        <v>46303</v>
      </c>
      <c r="B86" s="6" t="s">
        <v>11</v>
      </c>
      <c r="C86" s="6" t="s">
        <v>93</v>
      </c>
      <c r="D86" s="6" t="s">
        <v>13</v>
      </c>
      <c r="E86" s="6" t="s">
        <v>292</v>
      </c>
      <c r="F86" s="7" t="s">
        <v>293</v>
      </c>
      <c r="G86" s="6" t="s">
        <v>28</v>
      </c>
      <c r="H86" s="6" t="s">
        <v>212</v>
      </c>
      <c r="I86" s="6">
        <v>181</v>
      </c>
      <c r="J86" s="6" t="s">
        <v>213</v>
      </c>
      <c r="K86" s="6" t="s">
        <v>16</v>
      </c>
      <c r="L86" s="19">
        <v>388.3</v>
      </c>
      <c r="M86" s="12">
        <f t="shared" si="1"/>
        <v>93.191999999999993</v>
      </c>
      <c r="N86" s="19"/>
      <c r="O86" s="19"/>
      <c r="P86" s="19">
        <v>70.53</v>
      </c>
      <c r="Q86" s="19"/>
      <c r="R86" s="19">
        <v>36.200000000000003</v>
      </c>
      <c r="S86" s="10">
        <v>20</v>
      </c>
      <c r="T86" s="10"/>
      <c r="U86" s="9" t="s">
        <v>414</v>
      </c>
    </row>
    <row r="87" spans="1:21" x14ac:dyDescent="0.25">
      <c r="A87" s="5">
        <v>46303</v>
      </c>
      <c r="B87" s="6" t="s">
        <v>11</v>
      </c>
      <c r="C87" s="6" t="s">
        <v>93</v>
      </c>
      <c r="D87" s="6" t="s">
        <v>132</v>
      </c>
      <c r="E87" s="6" t="s">
        <v>294</v>
      </c>
      <c r="F87" s="4" t="s">
        <v>295</v>
      </c>
      <c r="G87" s="6" t="s">
        <v>16</v>
      </c>
      <c r="H87" s="6" t="s">
        <v>296</v>
      </c>
      <c r="I87" s="6">
        <v>11</v>
      </c>
      <c r="J87" s="6" t="s">
        <v>297</v>
      </c>
      <c r="K87" s="6" t="s">
        <v>19</v>
      </c>
      <c r="L87" s="19">
        <v>155</v>
      </c>
      <c r="M87" s="12">
        <f t="shared" si="1"/>
        <v>37.199999999999996</v>
      </c>
      <c r="N87" s="19"/>
      <c r="O87" s="19"/>
      <c r="P87" s="19">
        <v>3.24</v>
      </c>
      <c r="Q87" s="19"/>
      <c r="R87" s="19">
        <v>36.200000000000003</v>
      </c>
      <c r="S87" s="10">
        <v>20</v>
      </c>
      <c r="T87" s="10"/>
      <c r="U87" s="9" t="s">
        <v>414</v>
      </c>
    </row>
    <row r="88" spans="1:21" x14ac:dyDescent="0.25">
      <c r="A88" s="5">
        <v>46303</v>
      </c>
      <c r="B88" s="6" t="s">
        <v>11</v>
      </c>
      <c r="C88" s="6" t="s">
        <v>12</v>
      </c>
      <c r="D88" s="6" t="s">
        <v>13</v>
      </c>
      <c r="E88" s="13" t="s">
        <v>298</v>
      </c>
      <c r="F88" s="14" t="s">
        <v>299</v>
      </c>
      <c r="G88" s="6" t="s">
        <v>125</v>
      </c>
      <c r="H88" s="6" t="s">
        <v>300</v>
      </c>
      <c r="I88" s="6">
        <v>155</v>
      </c>
      <c r="J88" s="6" t="s">
        <v>301</v>
      </c>
      <c r="K88" s="6" t="s">
        <v>25</v>
      </c>
      <c r="L88" s="10">
        <v>216</v>
      </c>
      <c r="M88" s="12">
        <f t="shared" si="1"/>
        <v>51.839999999999996</v>
      </c>
      <c r="N88" s="10">
        <v>50</v>
      </c>
      <c r="O88" s="10"/>
      <c r="P88" s="10">
        <v>53.09</v>
      </c>
      <c r="Q88" s="10"/>
      <c r="R88" s="10"/>
      <c r="S88" s="10"/>
      <c r="T88" s="10"/>
      <c r="U88" s="9"/>
    </row>
    <row r="89" spans="1:21" x14ac:dyDescent="0.25">
      <c r="A89" s="5">
        <v>46303</v>
      </c>
      <c r="B89" s="6" t="s">
        <v>11</v>
      </c>
      <c r="C89" s="6" t="s">
        <v>330</v>
      </c>
      <c r="D89" s="6" t="s">
        <v>13</v>
      </c>
      <c r="E89" s="13" t="s">
        <v>331</v>
      </c>
      <c r="F89" s="14" t="s">
        <v>299</v>
      </c>
      <c r="G89" s="6" t="s">
        <v>25</v>
      </c>
      <c r="H89" s="6" t="s">
        <v>261</v>
      </c>
      <c r="I89" s="6">
        <v>93</v>
      </c>
      <c r="J89" s="6" t="s">
        <v>262</v>
      </c>
      <c r="K89" s="6" t="s">
        <v>16</v>
      </c>
      <c r="L89" s="10">
        <v>154</v>
      </c>
      <c r="M89" s="12">
        <f t="shared" si="1"/>
        <v>36.96</v>
      </c>
      <c r="N89" s="10">
        <v>50</v>
      </c>
      <c r="O89" s="10"/>
      <c r="P89" s="10">
        <v>34.869999999999997</v>
      </c>
      <c r="Q89" s="10"/>
      <c r="R89" s="10"/>
      <c r="S89" s="10">
        <v>20</v>
      </c>
      <c r="T89" s="10">
        <v>27.5</v>
      </c>
      <c r="U89" s="9" t="s">
        <v>444</v>
      </c>
    </row>
    <row r="90" spans="1:21" x14ac:dyDescent="0.25">
      <c r="A90" s="5">
        <v>46303</v>
      </c>
      <c r="B90" s="6" t="s">
        <v>11</v>
      </c>
      <c r="C90" s="6" t="s">
        <v>214</v>
      </c>
      <c r="D90" s="6" t="s">
        <v>13</v>
      </c>
      <c r="E90" s="15" t="s">
        <v>302</v>
      </c>
      <c r="F90" s="17" t="s">
        <v>303</v>
      </c>
      <c r="G90" s="6" t="s">
        <v>16</v>
      </c>
      <c r="H90" s="6" t="s">
        <v>23</v>
      </c>
      <c r="I90" s="6">
        <v>129</v>
      </c>
      <c r="J90" s="6" t="s">
        <v>24</v>
      </c>
      <c r="K90" s="6" t="s">
        <v>25</v>
      </c>
      <c r="L90" s="10">
        <v>188</v>
      </c>
      <c r="M90" s="12">
        <f t="shared" si="1"/>
        <v>45.12</v>
      </c>
      <c r="N90" s="10">
        <v>50</v>
      </c>
      <c r="O90" s="10"/>
      <c r="P90" s="10">
        <v>37.979999999999997</v>
      </c>
      <c r="Q90" s="10"/>
      <c r="R90" s="10"/>
      <c r="S90" s="10"/>
      <c r="T90" s="10"/>
      <c r="U90" s="9"/>
    </row>
    <row r="91" spans="1:21" x14ac:dyDescent="0.25">
      <c r="A91" s="5">
        <v>46304</v>
      </c>
      <c r="B91" s="6" t="s">
        <v>11</v>
      </c>
      <c r="C91" s="6" t="s">
        <v>12</v>
      </c>
      <c r="D91" s="6" t="s">
        <v>13</v>
      </c>
      <c r="E91" s="15" t="s">
        <v>372</v>
      </c>
      <c r="F91" s="17" t="s">
        <v>303</v>
      </c>
      <c r="G91" s="6" t="s">
        <v>25</v>
      </c>
      <c r="H91" s="6" t="s">
        <v>34</v>
      </c>
      <c r="I91" s="6">
        <v>146</v>
      </c>
      <c r="J91" s="6" t="s">
        <v>35</v>
      </c>
      <c r="K91" s="6" t="s">
        <v>16</v>
      </c>
      <c r="L91" s="10">
        <v>205</v>
      </c>
      <c r="M91" s="12">
        <f t="shared" si="1"/>
        <v>49.199999999999996</v>
      </c>
      <c r="N91" s="10">
        <v>50</v>
      </c>
      <c r="O91" s="10"/>
      <c r="P91" s="10">
        <v>45.32</v>
      </c>
      <c r="Q91" s="10"/>
      <c r="R91" s="10">
        <v>36.200000000000003</v>
      </c>
      <c r="S91" s="10">
        <v>20</v>
      </c>
      <c r="T91" s="10"/>
      <c r="U91" s="9" t="s">
        <v>414</v>
      </c>
    </row>
    <row r="92" spans="1:21" x14ac:dyDescent="0.25">
      <c r="A92" s="5">
        <v>46303</v>
      </c>
      <c r="B92" s="6" t="s">
        <v>11</v>
      </c>
      <c r="C92" s="6" t="s">
        <v>12</v>
      </c>
      <c r="D92" s="13" t="s">
        <v>189</v>
      </c>
      <c r="E92" s="6" t="s">
        <v>304</v>
      </c>
      <c r="F92" s="7" t="s">
        <v>305</v>
      </c>
      <c r="G92" s="6" t="s">
        <v>28</v>
      </c>
      <c r="H92" s="6" t="s">
        <v>207</v>
      </c>
      <c r="I92" s="6">
        <v>127</v>
      </c>
      <c r="J92" s="6" t="s">
        <v>208</v>
      </c>
      <c r="K92" s="6" t="s">
        <v>16</v>
      </c>
      <c r="L92" s="19">
        <v>280</v>
      </c>
      <c r="M92" s="12">
        <f t="shared" si="1"/>
        <v>67.2</v>
      </c>
      <c r="N92" s="19"/>
      <c r="O92" s="19"/>
      <c r="P92" s="19">
        <v>69.13</v>
      </c>
      <c r="Q92" s="10"/>
      <c r="R92" s="10"/>
      <c r="S92" s="10">
        <v>100</v>
      </c>
      <c r="T92" s="10">
        <v>68.75</v>
      </c>
      <c r="U92" s="9" t="s">
        <v>433</v>
      </c>
    </row>
    <row r="93" spans="1:21" x14ac:dyDescent="0.25">
      <c r="A93" s="5">
        <v>46303</v>
      </c>
      <c r="B93" s="6" t="s">
        <v>11</v>
      </c>
      <c r="C93" s="6" t="s">
        <v>65</v>
      </c>
      <c r="D93" s="6" t="s">
        <v>13</v>
      </c>
      <c r="E93" s="13" t="s">
        <v>308</v>
      </c>
      <c r="F93" s="14" t="s">
        <v>307</v>
      </c>
      <c r="G93" s="6" t="s">
        <v>16</v>
      </c>
      <c r="H93" s="6" t="s">
        <v>281</v>
      </c>
      <c r="I93" s="6">
        <v>64</v>
      </c>
      <c r="J93" s="6" t="s">
        <v>282</v>
      </c>
      <c r="K93" s="6" t="s">
        <v>25</v>
      </c>
      <c r="L93" s="10">
        <v>122</v>
      </c>
      <c r="M93" s="12">
        <f t="shared" si="1"/>
        <v>29.279999999999998</v>
      </c>
      <c r="N93" s="10">
        <v>50</v>
      </c>
      <c r="O93" s="10"/>
      <c r="P93" s="10">
        <v>23.4</v>
      </c>
      <c r="Q93" s="10"/>
      <c r="R93" s="10"/>
      <c r="S93" s="10"/>
      <c r="T93" s="10"/>
      <c r="U93" s="9"/>
    </row>
    <row r="94" spans="1:21" x14ac:dyDescent="0.25">
      <c r="A94" s="5">
        <v>46303</v>
      </c>
      <c r="B94" s="6" t="s">
        <v>11</v>
      </c>
      <c r="C94" s="6" t="s">
        <v>65</v>
      </c>
      <c r="D94" s="6" t="s">
        <v>13</v>
      </c>
      <c r="E94" s="13" t="s">
        <v>306</v>
      </c>
      <c r="F94" s="14" t="s">
        <v>307</v>
      </c>
      <c r="G94" s="6" t="s">
        <v>25</v>
      </c>
      <c r="H94" s="6" t="s">
        <v>68</v>
      </c>
      <c r="I94" s="6">
        <v>131</v>
      </c>
      <c r="J94" s="6" t="s">
        <v>69</v>
      </c>
      <c r="K94" s="6" t="s">
        <v>16</v>
      </c>
      <c r="L94" s="10">
        <v>190</v>
      </c>
      <c r="M94" s="12">
        <f t="shared" si="1"/>
        <v>45.6</v>
      </c>
      <c r="N94" s="10">
        <v>50</v>
      </c>
      <c r="O94" s="10"/>
      <c r="P94" s="10">
        <v>42.99</v>
      </c>
      <c r="Q94" s="10"/>
      <c r="R94" s="10">
        <v>36.200000000000003</v>
      </c>
      <c r="S94" s="10">
        <v>20</v>
      </c>
      <c r="T94" s="10"/>
      <c r="U94" s="9" t="s">
        <v>414</v>
      </c>
    </row>
    <row r="95" spans="1:21" x14ac:dyDescent="0.25">
      <c r="A95" s="5">
        <v>46303</v>
      </c>
      <c r="B95" s="6" t="s">
        <v>11</v>
      </c>
      <c r="C95" s="6" t="s">
        <v>12</v>
      </c>
      <c r="D95" s="6" t="s">
        <v>236</v>
      </c>
      <c r="E95" s="6" t="s">
        <v>237</v>
      </c>
      <c r="F95" s="4" t="s">
        <v>309</v>
      </c>
      <c r="G95" s="6" t="s">
        <v>239</v>
      </c>
      <c r="H95" s="6" t="s">
        <v>240</v>
      </c>
      <c r="I95" s="6">
        <v>25</v>
      </c>
      <c r="J95" s="6" t="s">
        <v>241</v>
      </c>
      <c r="K95" s="6" t="s">
        <v>16</v>
      </c>
      <c r="L95" s="19">
        <v>85</v>
      </c>
      <c r="M95" s="12">
        <f t="shared" si="1"/>
        <v>20.399999999999999</v>
      </c>
      <c r="N95" s="19"/>
      <c r="O95" s="19"/>
      <c r="P95" s="19">
        <v>3.72</v>
      </c>
      <c r="Q95" s="19"/>
      <c r="R95" s="19"/>
      <c r="S95" s="19">
        <v>10</v>
      </c>
      <c r="T95" s="19"/>
      <c r="U95" s="9" t="s">
        <v>414</v>
      </c>
    </row>
    <row r="96" spans="1:21" x14ac:dyDescent="0.25">
      <c r="A96" s="5">
        <v>46303</v>
      </c>
      <c r="B96" s="6" t="s">
        <v>11</v>
      </c>
      <c r="C96" s="6" t="s">
        <v>12</v>
      </c>
      <c r="D96" s="6" t="s">
        <v>236</v>
      </c>
      <c r="E96" s="6" t="s">
        <v>237</v>
      </c>
      <c r="F96" s="4" t="s">
        <v>310</v>
      </c>
      <c r="G96" s="6" t="s">
        <v>239</v>
      </c>
      <c r="H96" s="6" t="s">
        <v>240</v>
      </c>
      <c r="I96" s="6">
        <v>25</v>
      </c>
      <c r="J96" s="6" t="s">
        <v>241</v>
      </c>
      <c r="K96" s="6" t="s">
        <v>16</v>
      </c>
      <c r="L96" s="19">
        <v>85</v>
      </c>
      <c r="M96" s="12">
        <f t="shared" si="1"/>
        <v>20.399999999999999</v>
      </c>
      <c r="N96" s="19"/>
      <c r="O96" s="19"/>
      <c r="P96" s="19">
        <v>3.72</v>
      </c>
      <c r="Q96" s="19"/>
      <c r="R96" s="19"/>
      <c r="S96" s="19">
        <v>10</v>
      </c>
      <c r="T96" s="19"/>
      <c r="U96" s="9" t="s">
        <v>414</v>
      </c>
    </row>
    <row r="97" spans="1:21" x14ac:dyDescent="0.25">
      <c r="A97" s="5">
        <v>46303</v>
      </c>
      <c r="B97" s="6" t="s">
        <v>11</v>
      </c>
      <c r="C97" s="6" t="s">
        <v>31</v>
      </c>
      <c r="D97" s="6" t="s">
        <v>13</v>
      </c>
      <c r="E97" s="6" t="s">
        <v>311</v>
      </c>
      <c r="F97" s="4" t="s">
        <v>312</v>
      </c>
      <c r="G97" s="6" t="s">
        <v>28</v>
      </c>
      <c r="H97" s="6" t="s">
        <v>261</v>
      </c>
      <c r="I97" s="6">
        <v>93</v>
      </c>
      <c r="J97" s="6" t="s">
        <v>262</v>
      </c>
      <c r="K97" s="6" t="s">
        <v>16</v>
      </c>
      <c r="L97" s="10">
        <v>249</v>
      </c>
      <c r="M97" s="12">
        <f t="shared" si="1"/>
        <v>59.76</v>
      </c>
      <c r="N97" s="10"/>
      <c r="O97" s="10"/>
      <c r="P97" s="10">
        <v>50.9</v>
      </c>
      <c r="Q97" s="10"/>
      <c r="R97" s="10"/>
      <c r="S97" s="10">
        <v>20</v>
      </c>
      <c r="T97" s="10"/>
      <c r="U97" s="9" t="s">
        <v>414</v>
      </c>
    </row>
    <row r="98" spans="1:21" x14ac:dyDescent="0.25">
      <c r="A98" s="5">
        <v>46303</v>
      </c>
      <c r="B98" s="6" t="s">
        <v>11</v>
      </c>
      <c r="C98" s="6" t="s">
        <v>56</v>
      </c>
      <c r="D98" s="6" t="s">
        <v>13</v>
      </c>
      <c r="E98" s="6" t="s">
        <v>316</v>
      </c>
      <c r="F98" s="7" t="s">
        <v>317</v>
      </c>
      <c r="G98" s="6" t="s">
        <v>28</v>
      </c>
      <c r="H98" s="6" t="s">
        <v>29</v>
      </c>
      <c r="I98" s="6">
        <v>49</v>
      </c>
      <c r="J98" s="6" t="s">
        <v>30</v>
      </c>
      <c r="K98" s="6" t="s">
        <v>16</v>
      </c>
      <c r="L98" s="10">
        <v>229</v>
      </c>
      <c r="M98" s="12">
        <f t="shared" si="1"/>
        <v>54.96</v>
      </c>
      <c r="N98" s="10"/>
      <c r="O98" s="10"/>
      <c r="P98" s="10">
        <v>32.19</v>
      </c>
      <c r="Q98" s="10"/>
      <c r="R98" s="10">
        <v>36.200000000000003</v>
      </c>
      <c r="S98" s="10">
        <v>20</v>
      </c>
      <c r="T98" s="10"/>
      <c r="U98" s="9" t="s">
        <v>414</v>
      </c>
    </row>
    <row r="99" spans="1:21" x14ac:dyDescent="0.25">
      <c r="A99" s="5">
        <v>46303</v>
      </c>
      <c r="B99" s="6" t="s">
        <v>11</v>
      </c>
      <c r="C99" s="6" t="s">
        <v>107</v>
      </c>
      <c r="D99" s="6" t="s">
        <v>13</v>
      </c>
      <c r="E99" s="6" t="s">
        <v>324</v>
      </c>
      <c r="F99" s="7" t="s">
        <v>325</v>
      </c>
      <c r="G99" s="6" t="s">
        <v>28</v>
      </c>
      <c r="H99" s="6" t="s">
        <v>34</v>
      </c>
      <c r="I99" s="6">
        <v>146</v>
      </c>
      <c r="J99" s="6" t="s">
        <v>35</v>
      </c>
      <c r="K99" s="6" t="s">
        <v>16</v>
      </c>
      <c r="L99" s="19">
        <v>334</v>
      </c>
      <c r="M99" s="12">
        <f t="shared" si="1"/>
        <v>80.16</v>
      </c>
      <c r="N99" s="19"/>
      <c r="O99" s="19"/>
      <c r="P99" s="19">
        <v>82.88</v>
      </c>
      <c r="Q99" s="19"/>
      <c r="R99" s="19">
        <v>36.200000000000003</v>
      </c>
      <c r="S99" s="10">
        <v>20</v>
      </c>
      <c r="T99" s="10"/>
      <c r="U99" s="9" t="s">
        <v>414</v>
      </c>
    </row>
    <row r="100" spans="1:21" x14ac:dyDescent="0.25">
      <c r="A100" s="5">
        <v>46303</v>
      </c>
      <c r="B100" s="6" t="s">
        <v>11</v>
      </c>
      <c r="C100" s="6" t="s">
        <v>12</v>
      </c>
      <c r="D100" s="6" t="s">
        <v>13</v>
      </c>
      <c r="E100" s="6" t="s">
        <v>326</v>
      </c>
      <c r="F100" s="4" t="s">
        <v>327</v>
      </c>
      <c r="G100" s="6" t="s">
        <v>28</v>
      </c>
      <c r="H100" s="6" t="s">
        <v>34</v>
      </c>
      <c r="I100" s="6">
        <v>146</v>
      </c>
      <c r="J100" s="6" t="s">
        <v>35</v>
      </c>
      <c r="K100" s="6" t="s">
        <v>16</v>
      </c>
      <c r="L100" s="19">
        <v>334</v>
      </c>
      <c r="M100" s="12">
        <f t="shared" si="1"/>
        <v>80.16</v>
      </c>
      <c r="N100" s="19"/>
      <c r="O100" s="19"/>
      <c r="P100" s="19">
        <v>82.88</v>
      </c>
      <c r="Q100" s="19"/>
      <c r="R100" s="19">
        <v>36.200000000000003</v>
      </c>
      <c r="S100" s="10">
        <v>20</v>
      </c>
      <c r="T100" s="10"/>
      <c r="U100" s="9" t="s">
        <v>414</v>
      </c>
    </row>
    <row r="101" spans="1:21" x14ac:dyDescent="0.25">
      <c r="A101" s="5">
        <v>46303</v>
      </c>
      <c r="B101" s="6" t="s">
        <v>11</v>
      </c>
      <c r="C101" s="6" t="s">
        <v>43</v>
      </c>
      <c r="D101" s="6" t="s">
        <v>13</v>
      </c>
      <c r="E101" s="6" t="s">
        <v>328</v>
      </c>
      <c r="F101" s="4" t="s">
        <v>329</v>
      </c>
      <c r="G101" s="6" t="s">
        <v>28</v>
      </c>
      <c r="H101" s="6" t="s">
        <v>261</v>
      </c>
      <c r="I101" s="6">
        <v>93</v>
      </c>
      <c r="J101" s="6" t="s">
        <v>262</v>
      </c>
      <c r="K101" s="6" t="s">
        <v>16</v>
      </c>
      <c r="L101" s="10">
        <v>249</v>
      </c>
      <c r="M101" s="12">
        <f t="shared" si="1"/>
        <v>59.76</v>
      </c>
      <c r="N101" s="10"/>
      <c r="O101" s="10"/>
      <c r="P101" s="10">
        <v>50.9</v>
      </c>
      <c r="Q101" s="10"/>
      <c r="R101" s="10"/>
      <c r="S101" s="10">
        <v>20</v>
      </c>
      <c r="T101" s="10"/>
      <c r="U101" s="9" t="s">
        <v>414</v>
      </c>
    </row>
    <row r="102" spans="1:21" x14ac:dyDescent="0.25">
      <c r="A102" s="5">
        <v>46303</v>
      </c>
      <c r="B102" s="6" t="s">
        <v>11</v>
      </c>
      <c r="C102" s="6" t="s">
        <v>43</v>
      </c>
      <c r="D102" s="6" t="s">
        <v>13</v>
      </c>
      <c r="E102" s="6" t="s">
        <v>332</v>
      </c>
      <c r="F102" s="7" t="s">
        <v>333</v>
      </c>
      <c r="G102" s="6" t="s">
        <v>28</v>
      </c>
      <c r="H102" s="6" t="s">
        <v>334</v>
      </c>
      <c r="I102" s="6">
        <v>146</v>
      </c>
      <c r="J102" s="6" t="s">
        <v>335</v>
      </c>
      <c r="K102" s="6" t="s">
        <v>16</v>
      </c>
      <c r="L102" s="10">
        <v>334</v>
      </c>
      <c r="M102" s="12">
        <f t="shared" si="1"/>
        <v>80.16</v>
      </c>
      <c r="N102" s="10"/>
      <c r="O102" s="10"/>
      <c r="P102" s="10">
        <v>79.11</v>
      </c>
      <c r="Q102" s="10"/>
      <c r="R102" s="10"/>
      <c r="S102" s="10">
        <v>20</v>
      </c>
      <c r="T102" s="10">
        <v>27.5</v>
      </c>
      <c r="U102" s="9" t="s">
        <v>446</v>
      </c>
    </row>
    <row r="103" spans="1:21" x14ac:dyDescent="0.25">
      <c r="A103" s="5">
        <v>46303</v>
      </c>
      <c r="B103" s="6" t="s">
        <v>11</v>
      </c>
      <c r="C103" s="6" t="s">
        <v>12</v>
      </c>
      <c r="D103" s="6" t="s">
        <v>13</v>
      </c>
      <c r="E103" s="6" t="s">
        <v>336</v>
      </c>
      <c r="F103" s="7" t="s">
        <v>337</v>
      </c>
      <c r="G103" s="6" t="s">
        <v>28</v>
      </c>
      <c r="H103" s="6" t="s">
        <v>338</v>
      </c>
      <c r="I103" s="6">
        <v>247</v>
      </c>
      <c r="J103" s="6" t="s">
        <v>339</v>
      </c>
      <c r="K103" s="6" t="s">
        <v>16</v>
      </c>
      <c r="L103" s="10">
        <v>545.6</v>
      </c>
      <c r="M103" s="12">
        <f t="shared" si="1"/>
        <v>130.94399999999999</v>
      </c>
      <c r="N103" s="10"/>
      <c r="O103" s="10"/>
      <c r="P103" s="10">
        <v>90.21</v>
      </c>
      <c r="Q103" s="10"/>
      <c r="R103" s="10">
        <v>36.200000000000003</v>
      </c>
      <c r="S103" s="10">
        <v>20</v>
      </c>
      <c r="T103" s="10"/>
      <c r="U103" s="9" t="s">
        <v>414</v>
      </c>
    </row>
    <row r="104" spans="1:21" x14ac:dyDescent="0.25">
      <c r="A104" s="5">
        <v>46303</v>
      </c>
      <c r="B104" s="6" t="s">
        <v>11</v>
      </c>
      <c r="C104" s="6" t="s">
        <v>31</v>
      </c>
      <c r="D104" s="6" t="s">
        <v>13</v>
      </c>
      <c r="E104" s="6" t="s">
        <v>340</v>
      </c>
      <c r="F104" s="7" t="s">
        <v>341</v>
      </c>
      <c r="G104" s="6" t="s">
        <v>28</v>
      </c>
      <c r="H104" s="6" t="s">
        <v>72</v>
      </c>
      <c r="I104" s="6">
        <v>57</v>
      </c>
      <c r="J104" s="6" t="s">
        <v>73</v>
      </c>
      <c r="K104" s="6" t="s">
        <v>16</v>
      </c>
      <c r="L104" s="10">
        <v>210</v>
      </c>
      <c r="M104" s="12">
        <f t="shared" si="1"/>
        <v>50.4</v>
      </c>
      <c r="N104" s="10"/>
      <c r="O104" s="10"/>
      <c r="P104" s="10">
        <v>33.04</v>
      </c>
      <c r="Q104" s="10"/>
      <c r="R104" s="10"/>
      <c r="S104" s="10">
        <v>20</v>
      </c>
      <c r="T104" s="10"/>
      <c r="U104" s="9" t="s">
        <v>414</v>
      </c>
    </row>
    <row r="105" spans="1:21" x14ac:dyDescent="0.25">
      <c r="A105" s="5">
        <v>46303</v>
      </c>
      <c r="B105" s="6" t="s">
        <v>11</v>
      </c>
      <c r="C105" s="6" t="s">
        <v>342</v>
      </c>
      <c r="D105" s="6" t="s">
        <v>13</v>
      </c>
      <c r="E105" s="6" t="s">
        <v>343</v>
      </c>
      <c r="F105" s="7" t="s">
        <v>344</v>
      </c>
      <c r="G105" s="6" t="s">
        <v>28</v>
      </c>
      <c r="H105" s="6" t="s">
        <v>261</v>
      </c>
      <c r="I105" s="6">
        <v>93</v>
      </c>
      <c r="J105" s="6" t="s">
        <v>262</v>
      </c>
      <c r="K105" s="6" t="s">
        <v>16</v>
      </c>
      <c r="L105" s="10">
        <v>249</v>
      </c>
      <c r="M105" s="12">
        <f t="shared" si="1"/>
        <v>59.76</v>
      </c>
      <c r="N105" s="10"/>
      <c r="O105" s="10"/>
      <c r="P105" s="10">
        <v>50.9</v>
      </c>
      <c r="Q105" s="10"/>
      <c r="R105" s="10"/>
      <c r="S105" s="10">
        <v>20</v>
      </c>
      <c r="T105" s="10">
        <v>41.25</v>
      </c>
      <c r="U105" s="9" t="s">
        <v>447</v>
      </c>
    </row>
    <row r="106" spans="1:21" x14ac:dyDescent="0.25">
      <c r="A106" s="5">
        <v>46303</v>
      </c>
      <c r="B106" s="6" t="s">
        <v>11</v>
      </c>
      <c r="C106" s="6" t="s">
        <v>345</v>
      </c>
      <c r="D106" s="6" t="s">
        <v>346</v>
      </c>
      <c r="E106" s="6" t="s">
        <v>347</v>
      </c>
      <c r="F106" s="7" t="s">
        <v>348</v>
      </c>
      <c r="G106" s="6" t="s">
        <v>28</v>
      </c>
      <c r="H106" s="6" t="s">
        <v>240</v>
      </c>
      <c r="I106" s="6">
        <v>14</v>
      </c>
      <c r="J106" s="6" t="s">
        <v>349</v>
      </c>
      <c r="K106" s="6" t="s">
        <v>16</v>
      </c>
      <c r="L106" s="10">
        <v>155</v>
      </c>
      <c r="M106" s="12">
        <f t="shared" si="1"/>
        <v>37.199999999999996</v>
      </c>
      <c r="N106" s="10"/>
      <c r="O106" s="10"/>
      <c r="P106" s="10">
        <v>7.05</v>
      </c>
      <c r="Q106" s="10"/>
      <c r="R106" s="10"/>
      <c r="S106" s="10">
        <v>20</v>
      </c>
      <c r="T106" s="10">
        <v>68.75</v>
      </c>
      <c r="U106" s="9" t="s">
        <v>428</v>
      </c>
    </row>
    <row r="107" spans="1:21" s="2" customFormat="1" x14ac:dyDescent="0.25">
      <c r="A107" s="5">
        <v>46303</v>
      </c>
      <c r="B107" s="6" t="s">
        <v>11</v>
      </c>
      <c r="C107" s="6"/>
      <c r="D107" s="6"/>
      <c r="E107" s="6" t="s">
        <v>417</v>
      </c>
      <c r="F107" s="7" t="s">
        <v>418</v>
      </c>
      <c r="G107" s="6"/>
      <c r="H107" s="6" t="s">
        <v>419</v>
      </c>
      <c r="I107" s="6"/>
      <c r="J107" s="6"/>
      <c r="K107" s="6"/>
      <c r="L107" s="10"/>
      <c r="M107" s="12"/>
      <c r="N107" s="10"/>
      <c r="O107" s="10"/>
      <c r="P107" s="10"/>
      <c r="Q107" s="10"/>
      <c r="R107" s="10"/>
      <c r="S107" s="10"/>
      <c r="T107" s="10">
        <v>386.16</v>
      </c>
      <c r="U107" s="9" t="s">
        <v>420</v>
      </c>
    </row>
    <row r="108" spans="1:21" x14ac:dyDescent="0.25">
      <c r="A108" s="5">
        <v>46304</v>
      </c>
      <c r="B108" s="6" t="s">
        <v>11</v>
      </c>
      <c r="C108" s="6" t="s">
        <v>31</v>
      </c>
      <c r="D108" s="6" t="s">
        <v>13</v>
      </c>
      <c r="E108" s="6" t="s">
        <v>350</v>
      </c>
      <c r="F108" s="4" t="s">
        <v>351</v>
      </c>
      <c r="G108" s="6" t="s">
        <v>28</v>
      </c>
      <c r="H108" s="6" t="s">
        <v>153</v>
      </c>
      <c r="I108" s="6">
        <v>107</v>
      </c>
      <c r="J108" s="6" t="s">
        <v>352</v>
      </c>
      <c r="K108" s="6" t="s">
        <v>16</v>
      </c>
      <c r="L108" s="10">
        <v>251</v>
      </c>
      <c r="M108" s="12">
        <f t="shared" ref="M69:M127" si="2">24%*L108</f>
        <v>60.239999999999995</v>
      </c>
      <c r="N108" s="10"/>
      <c r="O108" s="10"/>
      <c r="P108" s="10">
        <v>54.6</v>
      </c>
      <c r="Q108" s="10"/>
      <c r="R108" s="10">
        <v>36.200000000000003</v>
      </c>
      <c r="S108" s="10">
        <v>20</v>
      </c>
      <c r="T108" s="10">
        <v>70</v>
      </c>
      <c r="U108" s="9" t="s">
        <v>424</v>
      </c>
    </row>
    <row r="109" spans="1:21" x14ac:dyDescent="0.25">
      <c r="A109" s="5">
        <v>46304</v>
      </c>
      <c r="B109" s="6" t="s">
        <v>11</v>
      </c>
      <c r="C109" s="6" t="s">
        <v>12</v>
      </c>
      <c r="D109" s="6" t="s">
        <v>13</v>
      </c>
      <c r="E109" s="6" t="s">
        <v>353</v>
      </c>
      <c r="F109" s="4" t="s">
        <v>15</v>
      </c>
      <c r="G109" s="6" t="s">
        <v>28</v>
      </c>
      <c r="H109" s="6" t="s">
        <v>153</v>
      </c>
      <c r="I109" s="6">
        <v>107</v>
      </c>
      <c r="J109" s="6" t="s">
        <v>352</v>
      </c>
      <c r="K109" s="6" t="s">
        <v>16</v>
      </c>
      <c r="L109" s="10">
        <v>251</v>
      </c>
      <c r="M109" s="12">
        <f t="shared" si="2"/>
        <v>60.239999999999995</v>
      </c>
      <c r="N109" s="10"/>
      <c r="O109" s="10"/>
      <c r="P109" s="10">
        <v>54.6</v>
      </c>
      <c r="Q109" s="10"/>
      <c r="R109" s="10">
        <v>36.200000000000003</v>
      </c>
      <c r="S109" s="10">
        <v>20</v>
      </c>
      <c r="T109" s="10"/>
      <c r="U109" s="9" t="s">
        <v>414</v>
      </c>
    </row>
    <row r="110" spans="1:21" x14ac:dyDescent="0.25">
      <c r="A110" s="5">
        <v>46304</v>
      </c>
      <c r="B110" s="6" t="s">
        <v>11</v>
      </c>
      <c r="C110" s="6" t="s">
        <v>20</v>
      </c>
      <c r="D110" s="6" t="s">
        <v>13</v>
      </c>
      <c r="E110" s="6" t="s">
        <v>354</v>
      </c>
      <c r="F110" s="7" t="s">
        <v>355</v>
      </c>
      <c r="G110" s="6" t="s">
        <v>16</v>
      </c>
      <c r="H110" s="6" t="s">
        <v>296</v>
      </c>
      <c r="I110" s="6">
        <v>11</v>
      </c>
      <c r="J110" s="6" t="s">
        <v>297</v>
      </c>
      <c r="K110" s="6" t="s">
        <v>413</v>
      </c>
      <c r="L110" s="10">
        <v>170</v>
      </c>
      <c r="M110" s="12">
        <f t="shared" si="2"/>
        <v>40.799999999999997</v>
      </c>
      <c r="N110" s="10"/>
      <c r="O110" s="10"/>
      <c r="P110" s="10">
        <v>8.7899999999999991</v>
      </c>
      <c r="Q110" s="10"/>
      <c r="R110" s="10">
        <v>18.100000000000001</v>
      </c>
      <c r="S110" s="10"/>
      <c r="T110" s="10"/>
      <c r="U110" s="9"/>
    </row>
    <row r="111" spans="1:21" x14ac:dyDescent="0.25">
      <c r="A111" s="5">
        <v>46304</v>
      </c>
      <c r="B111" s="6" t="s">
        <v>11</v>
      </c>
      <c r="C111" s="6" t="s">
        <v>36</v>
      </c>
      <c r="D111" s="13" t="s">
        <v>156</v>
      </c>
      <c r="E111" s="6" t="s">
        <v>356</v>
      </c>
      <c r="F111" s="7" t="s">
        <v>357</v>
      </c>
      <c r="G111" s="6" t="s">
        <v>28</v>
      </c>
      <c r="H111" s="6" t="s">
        <v>358</v>
      </c>
      <c r="I111" s="6">
        <v>112</v>
      </c>
      <c r="J111" s="6" t="s">
        <v>359</v>
      </c>
      <c r="K111" s="6" t="s">
        <v>16</v>
      </c>
      <c r="L111" s="10">
        <v>255</v>
      </c>
      <c r="M111" s="12">
        <f t="shared" si="2"/>
        <v>61.199999999999996</v>
      </c>
      <c r="N111" s="10"/>
      <c r="O111" s="10"/>
      <c r="P111" s="10">
        <v>53.17</v>
      </c>
      <c r="Q111" s="10"/>
      <c r="R111" s="10">
        <v>36.200000000000003</v>
      </c>
      <c r="S111" s="10">
        <v>170</v>
      </c>
      <c r="T111" s="10">
        <v>137.5</v>
      </c>
      <c r="U111" s="9" t="s">
        <v>430</v>
      </c>
    </row>
    <row r="112" spans="1:21" x14ac:dyDescent="0.25">
      <c r="A112" s="5">
        <v>46304</v>
      </c>
      <c r="B112" s="6" t="s">
        <v>11</v>
      </c>
      <c r="C112" s="6" t="s">
        <v>12</v>
      </c>
      <c r="D112" s="13" t="s">
        <v>189</v>
      </c>
      <c r="E112" s="6" t="s">
        <v>360</v>
      </c>
      <c r="F112" s="7" t="s">
        <v>361</v>
      </c>
      <c r="G112" s="6" t="s">
        <v>28</v>
      </c>
      <c r="H112" s="6" t="s">
        <v>207</v>
      </c>
      <c r="I112" s="6">
        <v>127</v>
      </c>
      <c r="J112" s="6" t="s">
        <v>208</v>
      </c>
      <c r="K112" s="6" t="s">
        <v>16</v>
      </c>
      <c r="L112" s="19">
        <v>280</v>
      </c>
      <c r="M112" s="12">
        <f t="shared" si="2"/>
        <v>67.2</v>
      </c>
      <c r="N112" s="19"/>
      <c r="O112" s="19"/>
      <c r="P112" s="19">
        <v>69.13</v>
      </c>
      <c r="Q112" s="10"/>
      <c r="R112" s="10"/>
      <c r="S112" s="10">
        <v>100</v>
      </c>
      <c r="T112" s="10"/>
      <c r="U112" s="9" t="s">
        <v>415</v>
      </c>
    </row>
    <row r="113" spans="1:21" x14ac:dyDescent="0.25">
      <c r="A113" s="5">
        <v>46304</v>
      </c>
      <c r="B113" s="6" t="s">
        <v>11</v>
      </c>
      <c r="C113" s="6" t="s">
        <v>139</v>
      </c>
      <c r="D113" s="13" t="s">
        <v>140</v>
      </c>
      <c r="E113" s="6" t="s">
        <v>362</v>
      </c>
      <c r="F113" s="7" t="s">
        <v>363</v>
      </c>
      <c r="G113" s="6" t="s">
        <v>28</v>
      </c>
      <c r="H113" s="6" t="s">
        <v>165</v>
      </c>
      <c r="I113" s="6">
        <v>111</v>
      </c>
      <c r="J113" s="6" t="s">
        <v>166</v>
      </c>
      <c r="K113" s="6" t="s">
        <v>16</v>
      </c>
      <c r="L113" s="10">
        <v>255</v>
      </c>
      <c r="M113" s="12">
        <f t="shared" si="2"/>
        <v>61.199999999999996</v>
      </c>
      <c r="N113" s="10"/>
      <c r="O113" s="10"/>
      <c r="P113" s="10">
        <v>53.17</v>
      </c>
      <c r="Q113" s="10"/>
      <c r="R113" s="10">
        <v>36.200000000000003</v>
      </c>
      <c r="S113" s="10">
        <v>100</v>
      </c>
      <c r="T113" s="10">
        <v>123.75</v>
      </c>
      <c r="U113" s="9" t="s">
        <v>435</v>
      </c>
    </row>
    <row r="114" spans="1:21" x14ac:dyDescent="0.25">
      <c r="A114" s="5">
        <v>46304</v>
      </c>
      <c r="B114" s="6" t="s">
        <v>11</v>
      </c>
      <c r="C114" s="6" t="s">
        <v>107</v>
      </c>
      <c r="D114" s="6" t="s">
        <v>13</v>
      </c>
      <c r="E114" s="15" t="s">
        <v>364</v>
      </c>
      <c r="F114" s="17" t="s">
        <v>365</v>
      </c>
      <c r="G114" s="6" t="s">
        <v>16</v>
      </c>
      <c r="H114" s="6" t="s">
        <v>296</v>
      </c>
      <c r="I114" s="6">
        <v>11</v>
      </c>
      <c r="J114" s="6" t="s">
        <v>297</v>
      </c>
      <c r="K114" s="6" t="s">
        <v>25</v>
      </c>
      <c r="L114" s="10">
        <v>99</v>
      </c>
      <c r="M114" s="12">
        <f t="shared" si="2"/>
        <v>23.759999999999998</v>
      </c>
      <c r="N114" s="10">
        <v>50</v>
      </c>
      <c r="O114" s="10"/>
      <c r="P114" s="10">
        <v>3.24</v>
      </c>
      <c r="Q114" s="10"/>
      <c r="R114" s="10"/>
      <c r="S114" s="10"/>
      <c r="T114" s="10"/>
      <c r="U114" s="9"/>
    </row>
    <row r="115" spans="1:21" x14ac:dyDescent="0.25">
      <c r="A115" s="5">
        <v>46304</v>
      </c>
      <c r="B115" s="6" t="s">
        <v>11</v>
      </c>
      <c r="C115" s="6" t="s">
        <v>12</v>
      </c>
      <c r="D115" s="6" t="s">
        <v>13</v>
      </c>
      <c r="E115" s="15" t="s">
        <v>373</v>
      </c>
      <c r="F115" s="17" t="s">
        <v>365</v>
      </c>
      <c r="G115" s="6" t="s">
        <v>25</v>
      </c>
      <c r="H115" s="6" t="s">
        <v>34</v>
      </c>
      <c r="I115" s="6">
        <v>146</v>
      </c>
      <c r="J115" s="6" t="s">
        <v>35</v>
      </c>
      <c r="K115" s="6" t="s">
        <v>16</v>
      </c>
      <c r="L115" s="10">
        <v>157</v>
      </c>
      <c r="M115" s="12">
        <f t="shared" si="2"/>
        <v>37.68</v>
      </c>
      <c r="N115" s="10">
        <v>50</v>
      </c>
      <c r="O115" s="10"/>
      <c r="P115" s="10">
        <v>75.09</v>
      </c>
      <c r="Q115" s="10"/>
      <c r="R115" s="10">
        <v>36.200000000000003</v>
      </c>
      <c r="S115" s="10">
        <v>20</v>
      </c>
      <c r="T115" s="10"/>
      <c r="U115" s="9" t="s">
        <v>414</v>
      </c>
    </row>
    <row r="116" spans="1:21" x14ac:dyDescent="0.25">
      <c r="A116" s="5">
        <v>46304</v>
      </c>
      <c r="B116" s="6" t="s">
        <v>11</v>
      </c>
      <c r="C116" s="6" t="s">
        <v>65</v>
      </c>
      <c r="D116" s="6" t="s">
        <v>13</v>
      </c>
      <c r="E116" s="6" t="s">
        <v>366</v>
      </c>
      <c r="F116" s="7" t="s">
        <v>367</v>
      </c>
      <c r="G116" s="6" t="s">
        <v>16</v>
      </c>
      <c r="H116" s="6" t="s">
        <v>281</v>
      </c>
      <c r="I116" s="6">
        <v>64</v>
      </c>
      <c r="J116" s="6" t="s">
        <v>282</v>
      </c>
      <c r="K116" s="6" t="s">
        <v>19</v>
      </c>
      <c r="L116" s="10">
        <v>236</v>
      </c>
      <c r="M116" s="12">
        <f t="shared" si="2"/>
        <v>56.64</v>
      </c>
      <c r="N116" s="10"/>
      <c r="O116" s="10"/>
      <c r="P116" s="10">
        <v>37.32</v>
      </c>
      <c r="Q116" s="10"/>
      <c r="R116" s="10">
        <v>36.200000000000003</v>
      </c>
      <c r="S116" s="10">
        <v>20</v>
      </c>
      <c r="T116" s="10"/>
      <c r="U116" s="9" t="s">
        <v>414</v>
      </c>
    </row>
    <row r="117" spans="1:21" x14ac:dyDescent="0.25">
      <c r="A117" s="5">
        <v>46304</v>
      </c>
      <c r="B117" s="6" t="s">
        <v>11</v>
      </c>
      <c r="C117" s="6" t="s">
        <v>65</v>
      </c>
      <c r="D117" s="6" t="s">
        <v>13</v>
      </c>
      <c r="E117" s="13" t="s">
        <v>368</v>
      </c>
      <c r="F117" s="14" t="s">
        <v>369</v>
      </c>
      <c r="G117" s="6" t="s">
        <v>16</v>
      </c>
      <c r="H117" s="6" t="s">
        <v>281</v>
      </c>
      <c r="I117" s="6">
        <v>64</v>
      </c>
      <c r="J117" s="6" t="s">
        <v>282</v>
      </c>
      <c r="K117" s="6" t="s">
        <v>25</v>
      </c>
      <c r="L117" s="10">
        <v>124</v>
      </c>
      <c r="M117" s="12">
        <f t="shared" si="2"/>
        <v>29.759999999999998</v>
      </c>
      <c r="N117" s="10">
        <v>50</v>
      </c>
      <c r="O117" s="10"/>
      <c r="P117" s="10">
        <v>25.71</v>
      </c>
      <c r="Q117" s="10"/>
      <c r="R117" s="10"/>
      <c r="S117" s="10"/>
      <c r="T117" s="10"/>
      <c r="U117" s="9"/>
    </row>
    <row r="118" spans="1:21" x14ac:dyDescent="0.25">
      <c r="A118" s="5">
        <v>46304</v>
      </c>
      <c r="B118" s="6" t="s">
        <v>11</v>
      </c>
      <c r="C118" s="6" t="s">
        <v>31</v>
      </c>
      <c r="D118" s="6" t="s">
        <v>13</v>
      </c>
      <c r="E118" s="13" t="s">
        <v>400</v>
      </c>
      <c r="F118" s="14" t="s">
        <v>369</v>
      </c>
      <c r="G118" s="6" t="s">
        <v>25</v>
      </c>
      <c r="H118" s="6" t="s">
        <v>401</v>
      </c>
      <c r="I118" s="6">
        <v>137</v>
      </c>
      <c r="J118" s="6" t="s">
        <v>402</v>
      </c>
      <c r="K118" s="6" t="s">
        <v>16</v>
      </c>
      <c r="L118" s="10">
        <v>198</v>
      </c>
      <c r="M118" s="12">
        <f t="shared" si="2"/>
        <v>47.519999999999996</v>
      </c>
      <c r="N118" s="10">
        <v>50</v>
      </c>
      <c r="O118" s="10"/>
      <c r="P118" s="10">
        <v>47.27</v>
      </c>
      <c r="Q118" s="10"/>
      <c r="R118" s="10">
        <v>36.200000000000003</v>
      </c>
      <c r="S118" s="10">
        <v>20</v>
      </c>
      <c r="T118" s="10"/>
      <c r="U118" s="9" t="s">
        <v>414</v>
      </c>
    </row>
    <row r="119" spans="1:21" x14ac:dyDescent="0.25">
      <c r="A119" s="5">
        <v>46304</v>
      </c>
      <c r="B119" s="6" t="s">
        <v>11</v>
      </c>
      <c r="C119" s="6" t="s">
        <v>107</v>
      </c>
      <c r="D119" s="6" t="s">
        <v>13</v>
      </c>
      <c r="E119" s="6" t="s">
        <v>370</v>
      </c>
      <c r="F119" s="4" t="s">
        <v>371</v>
      </c>
      <c r="G119" s="6" t="s">
        <v>28</v>
      </c>
      <c r="H119" s="6" t="s">
        <v>34</v>
      </c>
      <c r="I119" s="6">
        <v>146</v>
      </c>
      <c r="J119" s="6" t="s">
        <v>35</v>
      </c>
      <c r="K119" s="6" t="s">
        <v>16</v>
      </c>
      <c r="L119" s="19">
        <v>334</v>
      </c>
      <c r="M119" s="12">
        <f t="shared" si="2"/>
        <v>80.16</v>
      </c>
      <c r="N119" s="19"/>
      <c r="O119" s="19"/>
      <c r="P119" s="19">
        <v>82.88</v>
      </c>
      <c r="Q119" s="19"/>
      <c r="R119" s="19">
        <v>36.200000000000003</v>
      </c>
      <c r="S119" s="10">
        <v>20</v>
      </c>
      <c r="T119" s="10"/>
      <c r="U119" s="9" t="s">
        <v>414</v>
      </c>
    </row>
    <row r="120" spans="1:21" x14ac:dyDescent="0.25">
      <c r="A120" s="5">
        <v>46304</v>
      </c>
      <c r="B120" s="6" t="s">
        <v>11</v>
      </c>
      <c r="C120" s="6" t="s">
        <v>12</v>
      </c>
      <c r="D120" s="6" t="s">
        <v>13</v>
      </c>
      <c r="E120" s="6" t="s">
        <v>374</v>
      </c>
      <c r="F120" s="4" t="s">
        <v>375</v>
      </c>
      <c r="G120" s="6" t="s">
        <v>28</v>
      </c>
      <c r="H120" s="6" t="s">
        <v>212</v>
      </c>
      <c r="I120" s="6">
        <v>181</v>
      </c>
      <c r="J120" s="6" t="s">
        <v>213</v>
      </c>
      <c r="K120" s="6" t="s">
        <v>16</v>
      </c>
      <c r="L120" s="19">
        <v>388.3</v>
      </c>
      <c r="M120" s="12">
        <f t="shared" si="2"/>
        <v>93.191999999999993</v>
      </c>
      <c r="N120" s="19"/>
      <c r="O120" s="19"/>
      <c r="P120" s="19">
        <v>70.53</v>
      </c>
      <c r="Q120" s="19"/>
      <c r="R120" s="19">
        <v>36.200000000000003</v>
      </c>
      <c r="S120" s="10">
        <v>20</v>
      </c>
      <c r="T120" s="10"/>
      <c r="U120" s="9" t="s">
        <v>414</v>
      </c>
    </row>
    <row r="121" spans="1:21" x14ac:dyDescent="0.25">
      <c r="A121" s="5">
        <v>46304</v>
      </c>
      <c r="B121" s="6" t="s">
        <v>11</v>
      </c>
      <c r="C121" s="6" t="s">
        <v>107</v>
      </c>
      <c r="D121" s="6" t="s">
        <v>13</v>
      </c>
      <c r="E121" s="6" t="s">
        <v>376</v>
      </c>
      <c r="F121" s="7" t="s">
        <v>377</v>
      </c>
      <c r="G121" s="6" t="s">
        <v>28</v>
      </c>
      <c r="H121" s="6" t="s">
        <v>378</v>
      </c>
      <c r="I121" s="6">
        <v>141</v>
      </c>
      <c r="J121" s="6" t="s">
        <v>379</v>
      </c>
      <c r="K121" s="6" t="s">
        <v>16</v>
      </c>
      <c r="L121" s="10">
        <v>314.60000000000002</v>
      </c>
      <c r="M121" s="12">
        <f t="shared" si="2"/>
        <v>75.504000000000005</v>
      </c>
      <c r="N121" s="10"/>
      <c r="O121" s="10"/>
      <c r="P121" s="10">
        <v>71.680000000000007</v>
      </c>
      <c r="Q121" s="10"/>
      <c r="R121" s="10">
        <v>36.200000000000003</v>
      </c>
      <c r="S121" s="10">
        <v>20</v>
      </c>
      <c r="T121" s="10"/>
      <c r="U121" s="9" t="s">
        <v>414</v>
      </c>
    </row>
    <row r="122" spans="1:21" x14ac:dyDescent="0.25">
      <c r="A122" s="5">
        <v>46304</v>
      </c>
      <c r="B122" s="6" t="s">
        <v>11</v>
      </c>
      <c r="C122" s="6" t="s">
        <v>12</v>
      </c>
      <c r="D122" s="6" t="s">
        <v>13</v>
      </c>
      <c r="E122" s="6" t="s">
        <v>380</v>
      </c>
      <c r="F122" s="4" t="s">
        <v>381</v>
      </c>
      <c r="G122" s="6" t="s">
        <v>28</v>
      </c>
      <c r="H122" s="6" t="s">
        <v>382</v>
      </c>
      <c r="I122" s="6">
        <v>181</v>
      </c>
      <c r="J122" s="6" t="s">
        <v>383</v>
      </c>
      <c r="K122" s="6" t="s">
        <v>16</v>
      </c>
      <c r="L122" s="10">
        <v>388.3</v>
      </c>
      <c r="M122" s="12">
        <f t="shared" si="2"/>
        <v>93.191999999999993</v>
      </c>
      <c r="N122" s="10"/>
      <c r="O122" s="10"/>
      <c r="P122" s="10">
        <v>70.53</v>
      </c>
      <c r="Q122" s="10"/>
      <c r="R122" s="10">
        <v>36.200000000000003</v>
      </c>
      <c r="S122" s="10">
        <v>20</v>
      </c>
      <c r="T122" s="10"/>
      <c r="U122" s="9" t="s">
        <v>414</v>
      </c>
    </row>
    <row r="123" spans="1:21" x14ac:dyDescent="0.25">
      <c r="A123" s="5">
        <v>46304</v>
      </c>
      <c r="B123" s="6" t="s">
        <v>11</v>
      </c>
      <c r="C123" s="6" t="s">
        <v>12</v>
      </c>
      <c r="D123" s="6" t="s">
        <v>13</v>
      </c>
      <c r="E123" s="6" t="s">
        <v>384</v>
      </c>
      <c r="F123" s="4" t="s">
        <v>385</v>
      </c>
      <c r="G123" s="6" t="s">
        <v>28</v>
      </c>
      <c r="H123" s="6" t="s">
        <v>386</v>
      </c>
      <c r="I123" s="6">
        <v>96</v>
      </c>
      <c r="J123" s="6" t="s">
        <v>387</v>
      </c>
      <c r="K123" s="6" t="s">
        <v>16</v>
      </c>
      <c r="L123" s="10">
        <v>249</v>
      </c>
      <c r="M123" s="12">
        <f t="shared" si="2"/>
        <v>59.76</v>
      </c>
      <c r="N123" s="10"/>
      <c r="O123" s="10"/>
      <c r="P123" s="10">
        <v>49.64</v>
      </c>
      <c r="Q123" s="10"/>
      <c r="R123" s="10">
        <v>36.200000000000003</v>
      </c>
      <c r="S123" s="10">
        <v>20</v>
      </c>
      <c r="T123" s="10"/>
      <c r="U123" s="9" t="s">
        <v>414</v>
      </c>
    </row>
    <row r="124" spans="1:21" x14ac:dyDescent="0.25">
      <c r="A124" s="5">
        <v>46304</v>
      </c>
      <c r="B124" s="6" t="s">
        <v>11</v>
      </c>
      <c r="C124" s="6" t="s">
        <v>31</v>
      </c>
      <c r="D124" s="6" t="s">
        <v>13</v>
      </c>
      <c r="E124" s="6" t="s">
        <v>388</v>
      </c>
      <c r="F124" s="7" t="s">
        <v>389</v>
      </c>
      <c r="G124" s="6" t="s">
        <v>28</v>
      </c>
      <c r="H124" s="6" t="s">
        <v>261</v>
      </c>
      <c r="I124" s="6">
        <v>93</v>
      </c>
      <c r="J124" s="6" t="s">
        <v>262</v>
      </c>
      <c r="K124" s="6" t="s">
        <v>16</v>
      </c>
      <c r="L124" s="10">
        <v>249</v>
      </c>
      <c r="M124" s="12">
        <f t="shared" si="2"/>
        <v>59.76</v>
      </c>
      <c r="N124" s="10"/>
      <c r="O124" s="10"/>
      <c r="P124" s="10">
        <v>50.9</v>
      </c>
      <c r="Q124" s="10"/>
      <c r="R124" s="10"/>
      <c r="S124" s="10">
        <v>20</v>
      </c>
      <c r="T124" s="10">
        <v>82.5</v>
      </c>
      <c r="U124" s="9" t="s">
        <v>449</v>
      </c>
    </row>
    <row r="125" spans="1:21" x14ac:dyDescent="0.25">
      <c r="A125" s="5">
        <v>46304</v>
      </c>
      <c r="B125" s="6" t="s">
        <v>11</v>
      </c>
      <c r="C125" s="6" t="s">
        <v>31</v>
      </c>
      <c r="D125" s="6" t="s">
        <v>13</v>
      </c>
      <c r="E125" s="6" t="s">
        <v>390</v>
      </c>
      <c r="F125" s="4" t="s">
        <v>391</v>
      </c>
      <c r="G125" s="6" t="s">
        <v>28</v>
      </c>
      <c r="H125" s="6" t="s">
        <v>392</v>
      </c>
      <c r="I125" s="6">
        <v>53</v>
      </c>
      <c r="J125" s="6" t="s">
        <v>393</v>
      </c>
      <c r="K125" s="6" t="s">
        <v>16</v>
      </c>
      <c r="L125" s="10">
        <v>210</v>
      </c>
      <c r="M125" s="12">
        <f t="shared" si="2"/>
        <v>50.4</v>
      </c>
      <c r="N125" s="10"/>
      <c r="O125" s="10"/>
      <c r="P125" s="10">
        <v>27.14</v>
      </c>
      <c r="Q125" s="10"/>
      <c r="R125" s="10"/>
      <c r="S125" s="10">
        <v>20</v>
      </c>
      <c r="T125" s="10"/>
      <c r="U125" s="9" t="s">
        <v>414</v>
      </c>
    </row>
    <row r="126" spans="1:21" x14ac:dyDescent="0.25">
      <c r="A126" s="5">
        <v>46304</v>
      </c>
      <c r="B126" s="6" t="s">
        <v>11</v>
      </c>
      <c r="C126" s="6" t="s">
        <v>31</v>
      </c>
      <c r="D126" s="6" t="s">
        <v>13</v>
      </c>
      <c r="E126" s="6" t="s">
        <v>394</v>
      </c>
      <c r="F126" s="7" t="s">
        <v>395</v>
      </c>
      <c r="G126" s="6" t="s">
        <v>28</v>
      </c>
      <c r="H126" s="6" t="s">
        <v>392</v>
      </c>
      <c r="I126" s="6">
        <v>53</v>
      </c>
      <c r="J126" s="6" t="s">
        <v>393</v>
      </c>
      <c r="K126" s="6" t="s">
        <v>16</v>
      </c>
      <c r="L126" s="10">
        <v>210</v>
      </c>
      <c r="M126" s="12">
        <f t="shared" si="2"/>
        <v>50.4</v>
      </c>
      <c r="N126" s="10"/>
      <c r="O126" s="10"/>
      <c r="P126" s="10">
        <v>27.14</v>
      </c>
      <c r="Q126" s="10"/>
      <c r="R126" s="10"/>
      <c r="S126" s="10">
        <v>20</v>
      </c>
      <c r="T126" s="10"/>
      <c r="U126" s="9" t="s">
        <v>414</v>
      </c>
    </row>
    <row r="127" spans="1:21" x14ac:dyDescent="0.25">
      <c r="A127" s="5">
        <v>46304</v>
      </c>
      <c r="B127" s="6" t="s">
        <v>11</v>
      </c>
      <c r="C127" s="6" t="s">
        <v>345</v>
      </c>
      <c r="D127" s="6" t="s">
        <v>13</v>
      </c>
      <c r="E127" s="6" t="s">
        <v>396</v>
      </c>
      <c r="F127" s="7" t="s">
        <v>397</v>
      </c>
      <c r="G127" s="6" t="s">
        <v>28</v>
      </c>
      <c r="H127" s="6" t="s">
        <v>398</v>
      </c>
      <c r="I127" s="6">
        <v>72</v>
      </c>
      <c r="J127" s="6" t="s">
        <v>399</v>
      </c>
      <c r="K127" s="6" t="s">
        <v>16</v>
      </c>
      <c r="L127" s="10">
        <v>210</v>
      </c>
      <c r="M127" s="12">
        <f t="shared" si="2"/>
        <v>50.4</v>
      </c>
      <c r="N127" s="10"/>
      <c r="O127" s="10"/>
      <c r="P127" s="10">
        <v>23.92</v>
      </c>
      <c r="Q127" s="10"/>
      <c r="R127" s="10"/>
      <c r="S127" s="10">
        <v>20</v>
      </c>
      <c r="T127" s="10"/>
      <c r="U127" s="9" t="s">
        <v>414</v>
      </c>
    </row>
    <row r="128" spans="1:21" x14ac:dyDescent="0.25">
      <c r="K128" s="2"/>
      <c r="L128" s="20">
        <f>SUM(L2:L127)</f>
        <v>29210.299999999996</v>
      </c>
      <c r="M128" s="20">
        <f t="shared" ref="M128:T128" si="3">SUM(M2:M127)</f>
        <v>7010.4719999999988</v>
      </c>
      <c r="N128" s="20">
        <f t="shared" si="3"/>
        <v>1300</v>
      </c>
      <c r="O128" s="20">
        <f t="shared" si="3"/>
        <v>0</v>
      </c>
      <c r="P128" s="20">
        <f t="shared" si="3"/>
        <v>5302.3700000000044</v>
      </c>
      <c r="Q128" s="20">
        <f t="shared" si="3"/>
        <v>0</v>
      </c>
      <c r="R128" s="20">
        <f t="shared" si="3"/>
        <v>2316.8000000000002</v>
      </c>
      <c r="S128" s="20">
        <f t="shared" si="3"/>
        <v>3570</v>
      </c>
      <c r="T128" s="20">
        <f t="shared" si="3"/>
        <v>2352.41</v>
      </c>
      <c r="U128" s="20">
        <f>SUM(L128:T128)</f>
        <v>51062.351999999999</v>
      </c>
    </row>
    <row r="129" spans="11:21" x14ac:dyDescent="0.25">
      <c r="K129" s="2"/>
      <c r="L129" s="21"/>
      <c r="M129" s="21"/>
      <c r="N129" s="21"/>
      <c r="O129" s="21"/>
      <c r="P129" s="21"/>
      <c r="Q129" s="21"/>
      <c r="R129" s="21"/>
      <c r="S129" s="22"/>
      <c r="T129" s="22"/>
      <c r="U129" s="2"/>
    </row>
    <row r="130" spans="11:21" x14ac:dyDescent="0.25">
      <c r="K130" s="23" t="s">
        <v>450</v>
      </c>
      <c r="L130" s="24">
        <f>L128</f>
        <v>29210.299999999996</v>
      </c>
      <c r="M130" s="22"/>
      <c r="N130" s="22"/>
      <c r="O130" s="22"/>
      <c r="P130" s="22"/>
      <c r="Q130" s="22"/>
      <c r="R130" s="22"/>
      <c r="S130" s="22"/>
      <c r="T130" s="22"/>
      <c r="U130" s="2"/>
    </row>
    <row r="131" spans="11:21" x14ac:dyDescent="0.25">
      <c r="K131" s="23" t="s">
        <v>454</v>
      </c>
      <c r="L131" s="24">
        <f>M128</f>
        <v>7010.4719999999988</v>
      </c>
      <c r="M131" s="22"/>
      <c r="N131" s="22"/>
      <c r="O131" s="22"/>
      <c r="P131" s="22"/>
      <c r="Q131" s="22"/>
      <c r="R131" s="22"/>
      <c r="S131" s="22"/>
      <c r="T131" s="22"/>
      <c r="U131" s="2"/>
    </row>
    <row r="132" spans="11:21" x14ac:dyDescent="0.25">
      <c r="K132" s="23" t="s">
        <v>451</v>
      </c>
      <c r="L132" s="24">
        <f>N128</f>
        <v>1300</v>
      </c>
      <c r="M132" s="22"/>
      <c r="N132" s="22"/>
      <c r="O132" s="22"/>
      <c r="P132" s="22"/>
      <c r="Q132" s="22"/>
      <c r="R132" s="22"/>
      <c r="S132" s="22"/>
      <c r="T132" s="22"/>
      <c r="U132" s="2"/>
    </row>
    <row r="133" spans="11:21" x14ac:dyDescent="0.25">
      <c r="K133" s="25" t="s">
        <v>452</v>
      </c>
      <c r="L133" s="24">
        <f>O128</f>
        <v>0</v>
      </c>
      <c r="M133" s="22"/>
      <c r="N133" s="22"/>
      <c r="O133" s="22"/>
      <c r="P133" s="22"/>
      <c r="Q133" s="22"/>
      <c r="R133" s="22"/>
      <c r="S133" s="22"/>
      <c r="T133" s="22"/>
      <c r="U133" s="2"/>
    </row>
    <row r="134" spans="11:21" x14ac:dyDescent="0.25">
      <c r="K134" s="25" t="s">
        <v>406</v>
      </c>
      <c r="L134" s="24">
        <f>P128</f>
        <v>5302.3700000000044</v>
      </c>
      <c r="M134" s="22"/>
      <c r="N134" s="22"/>
      <c r="O134" s="22"/>
      <c r="P134" s="22"/>
      <c r="Q134" s="22"/>
      <c r="R134" s="22"/>
      <c r="S134" s="22"/>
      <c r="T134" s="22"/>
      <c r="U134" s="2"/>
    </row>
    <row r="135" spans="11:21" x14ac:dyDescent="0.25">
      <c r="K135" s="25" t="s">
        <v>407</v>
      </c>
      <c r="L135" s="24">
        <f>Q128</f>
        <v>0</v>
      </c>
      <c r="M135" s="22"/>
      <c r="N135" s="22"/>
      <c r="O135" s="22"/>
      <c r="P135" s="22"/>
      <c r="Q135" s="22"/>
      <c r="R135" s="22"/>
      <c r="S135" s="22"/>
      <c r="T135" s="22"/>
      <c r="U135" s="2"/>
    </row>
    <row r="136" spans="11:21" x14ac:dyDescent="0.25">
      <c r="K136" s="25" t="s">
        <v>408</v>
      </c>
      <c r="L136" s="24">
        <f>R128</f>
        <v>2316.8000000000002</v>
      </c>
      <c r="M136" s="22"/>
      <c r="N136" s="22"/>
      <c r="O136" s="22"/>
      <c r="P136" s="22"/>
      <c r="Q136" s="22"/>
      <c r="R136" s="22"/>
      <c r="S136" s="22"/>
      <c r="T136" s="22"/>
      <c r="U136" s="2"/>
    </row>
    <row r="137" spans="11:21" x14ac:dyDescent="0.25">
      <c r="K137" s="25" t="s">
        <v>453</v>
      </c>
      <c r="L137" s="24">
        <f>S128</f>
        <v>3570</v>
      </c>
      <c r="M137" s="22"/>
      <c r="N137" s="22"/>
      <c r="O137" s="22"/>
      <c r="P137" s="22"/>
      <c r="Q137" s="22"/>
      <c r="R137" s="22"/>
      <c r="S137" s="22"/>
      <c r="T137" s="22"/>
      <c r="U137" s="2"/>
    </row>
    <row r="138" spans="11:21" x14ac:dyDescent="0.25">
      <c r="K138" s="25" t="s">
        <v>410</v>
      </c>
      <c r="L138" s="24">
        <f>T128</f>
        <v>2352.41</v>
      </c>
      <c r="M138" s="22"/>
      <c r="N138" s="22"/>
      <c r="O138" s="22"/>
      <c r="P138" s="22"/>
      <c r="Q138" s="22"/>
      <c r="R138" s="22"/>
      <c r="S138" s="22"/>
      <c r="T138" s="22"/>
      <c r="U138" s="2"/>
    </row>
    <row r="139" spans="11:21" x14ac:dyDescent="0.25">
      <c r="K139" s="26" t="s">
        <v>450</v>
      </c>
      <c r="L139" s="24">
        <f>U128</f>
        <v>51062.351999999999</v>
      </c>
      <c r="M139" s="22"/>
      <c r="N139" s="22"/>
      <c r="O139" s="22"/>
      <c r="P139" s="22"/>
      <c r="Q139" s="22"/>
      <c r="R139" s="22"/>
      <c r="S139" s="22"/>
      <c r="T139" s="22"/>
      <c r="U1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van der Veer</dc:creator>
  <cp:lastModifiedBy>Sander van der Veer</cp:lastModifiedBy>
  <dcterms:created xsi:type="dcterms:W3CDTF">2026-10-13T09:52:55Z</dcterms:created>
  <dcterms:modified xsi:type="dcterms:W3CDTF">2026-10-13T13:48:20Z</dcterms:modified>
</cp:coreProperties>
</file>